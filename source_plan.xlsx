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9a3881b17e49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DSUMOWANIE PROJEKTU" sheetId="1" r:id="Rb7c53955b99b4b0f"/>
    <x:sheet xmlns:r="http://schemas.openxmlformats.org/officeDocument/2006/relationships" name="FAZA 1 - OSLO MARATHON" sheetId="2" r:id="R7f235b5d71094a98"/>
    <x:sheet xmlns:r="http://schemas.openxmlformats.org/officeDocument/2006/relationships" name="FAZA 2 - IRONMAN 70.3 POZNAŃ" sheetId="3" r:id="R4ff75c375dcd4cc2"/>
    <x:sheet xmlns:r="http://schemas.openxmlformats.org/officeDocument/2006/relationships" name="TESTY I KONTROLA" sheetId="4" r:id="Rd9c6b8110a894059"/>
    <x:sheet xmlns:r="http://schemas.openxmlformats.org/officeDocument/2006/relationships" name="MAPA OBCIĄŻEŃ" sheetId="5" r:id="R19da0075c0284804"/>
    <x:sheet xmlns:r="http://schemas.openxmlformats.org/officeDocument/2006/relationships" name="COACH CENTER" sheetId="6" r:id="R97bdaad2870a4d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-dd"/>
    <x:numFmt numFmtId="201" formatCode="mmm yyyy"/>
    <x:numFmt numFmtId="202" formatCode="0.0"/>
    <x:numFmt numFmtId="203" formatCode="0"/>
    <x:numFmt numFmtId="204" formatCode="0%"/>
    <x:numFmt numFmtId="205" formatCode="dd.mm.yyyy"/>
    <x:numFmt numFmtId="206" formatCode="[h]:mm:ss"/>
    <x:numFmt numFmtId="207" formatCode="[m]:ss"/>
  </x:numFmts>
  <x:fonts count="20">
    <x:font>
      <x:sz val="11"/>
      <x:name val="Carlito"/>
    </x:font>
    <x:font>
      <x:b/>
      <x:sz val="15"/>
      <x:color rgb="FFFFFF"/>
      <x:name val="Carlito"/>
    </x:font>
    <x:font>
      <x:i/>
      <x:sz val="10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4"/>
      <x:color rgb="FFFFFF"/>
      <x:name val="Carlito"/>
    </x:font>
    <x:font>
      <x:i/>
      <x:sz val="10"/>
      <x:color rgb="1F385C"/>
      <x:name val="Carlito"/>
    </x:font>
    <x:font>
      <x:b/>
      <x:sz val="10"/>
      <x:color rgb="FFFFFF"/>
      <x:name val="Carlito"/>
    </x:font>
    <x:font>
      <x:sz val="10"/>
      <x:color rgb="000000"/>
      <x:name val="Carlito"/>
    </x:font>
    <x:font>
      <x:b/>
      <x:sz val="11"/>
      <x:color rgb="1F385C"/>
      <x:name val="Carlito"/>
    </x:font>
    <x:font>
      <x:b/>
      <x:sz val="13"/>
      <x:color rgb="FFFFFF"/>
      <x:name val="Carlito"/>
    </x:font>
    <x:font>
      <x:i/>
      <x:sz val="10"/>
      <x:color rgb="375623"/>
      <x:name val="Carlito"/>
    </x:font>
    <x:font>
      <x:sz val="10"/>
      <x:color rgb="1F2937"/>
      <x:name val="Carlito"/>
    </x:font>
    <x:font>
      <x:b/>
      <x:sz val="10"/>
      <x:color rgb="1F2937"/>
      <x:name val="Carlito"/>
    </x:font>
    <x:font>
      <x:sz val="10"/>
      <x:color rgb="374151"/>
      <x:name val="Carlito"/>
    </x:font>
    <x:font>
      <x:b/>
      <x:sz val="10"/>
      <x:color rgb="274E13"/>
      <x:name val="Carlito"/>
    </x:font>
    <x:font>
      <x:i/>
      <x:sz val="11"/>
      <x:color rgb="1F4E78"/>
      <x:name val="Carlito"/>
    </x:font>
    <x:font>
      <x:b/>
      <x:sz val="12"/>
      <x:color rgb="FFFFFF"/>
      <x:name val="Carlito"/>
    </x:font>
    <x:font>
      <x:b/>
      <x:sz val="11"/>
      <x:name val="Carlito"/>
    </x:font>
    <x:font>
      <x:sz val="11"/>
      <x:name val="Carlito"/>
    </x:font>
  </x:fonts>
  <x:fills count="26">
    <x:fill>
      <x:patternFill patternType="none"/>
    </x:fill>
    <x:fill>
      <x:patternFill patternType="gray125"/>
    </x:fill>
    <x:fill>
      <x:patternFill patternType="solid">
        <x:fgColor rgb="1F4E3D"/>
      </x:patternFill>
    </x:fill>
    <x:fill>
      <x:patternFill patternType="solid">
        <x:fgColor rgb="DDEFE7"/>
      </x:patternFill>
    </x:fill>
    <x:fill>
      <x:patternFill patternType="solid">
        <x:fgColor rgb="1F385C"/>
      </x:patternFill>
    </x:fill>
    <x:fill>
      <x:patternFill patternType="solid">
        <x:fgColor rgb="FFFFFF"/>
      </x:patternFill>
    </x:fill>
    <x:fill>
      <x:patternFill patternType="solid">
        <x:fgColor rgb="FCE4D6"/>
      </x:patternFill>
    </x:fill>
    <x:fill>
      <x:patternFill patternType="solid">
        <x:fgColor rgb="E1D5E7"/>
      </x:patternFill>
    </x:fill>
    <x:fill>
      <x:patternFill patternType="solid">
        <x:fgColor rgb="E2EFDA"/>
      </x:patternFill>
    </x:fill>
    <x:fill>
      <x:patternFill patternType="solid">
        <x:fgColor rgb="DDEBF7"/>
      </x:patternFill>
    </x:fill>
    <x:fill>
      <x:patternFill patternType="solid">
        <x:fgColor rgb="FCE4F2"/>
      </x:patternFill>
    </x:fill>
    <x:fill>
      <x:patternFill patternType="solid">
        <x:fgColor rgb="1F4E78"/>
      </x:patternFill>
    </x:fill>
    <x:fill>
      <x:patternFill patternType="solid">
        <x:fgColor rgb="385723"/>
      </x:patternFill>
    </x:fill>
    <x:fill>
      <x:patternFill patternType="solid">
        <x:fgColor rgb="E2F0D9"/>
      </x:patternFill>
    </x:fill>
    <x:fill>
      <x:patternFill patternType="solid">
        <x:fgColor rgb="6E8B3D"/>
      </x:patternFill>
    </x:fill>
    <x:fill>
      <x:patternFill patternType="solid">
        <x:fgColor rgb="F7FBF3"/>
      </x:patternFill>
    </x:fill>
    <x:fill>
      <x:patternFill patternType="solid">
        <x:fgColor rgb="F3F4F6"/>
      </x:patternFill>
    </x:fill>
    <x:fill>
      <x:patternFill patternType="solid">
        <x:fgColor rgb="FFFFFF"/>
      </x:patternFill>
    </x:fill>
    <x:fill>
      <x:patternFill patternType="solid">
        <x:fgColor rgb="2F5597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0F766E"/>
      </x:patternFill>
    </x:fill>
    <x:fill>
      <x:patternFill patternType="solid">
        <x:fgColor rgb="3C78D8"/>
      </x:patternFill>
    </x:fill>
    <x:fill>
      <x:patternFill patternType="solid">
        <x:fgColor rgb="FFF2CC"/>
      </x:patternFill>
    </x:fill>
    <x:fill>
      <x:patternFill patternType="solid">
        <x:fgColor rgb="FCE5CD"/>
      </x:patternFill>
    </x:fill>
    <x:fill>
      <x:patternFill patternType="solid">
        <x:fgColor rgb="E2F0D9"/>
      </x:patternFill>
    </x:fill>
  </x:fills>
  <x:borders count="16">
    <x:border/>
    <x:border/>
    <x:border>
      <x:left style="thin">
        <x:color rgb="FFFFFF"/>
      </x:left>
      <x:right style="thin">
        <x:color rgb="FFFFFF"/>
      </x:right>
      <x:top style="thin">
        <x:color rgb="FFFFFF"/>
      </x:top>
    </x:border>
    <x:border>
      <x:left style="thin">
        <x:color rgb="FFFFFF"/>
      </x:left>
      <x:right style="thin">
        <x:color rgb="FFFFFF"/>
      </x:right>
      <x:bottom style="thin">
        <x:color rgb="FFFFFF"/>
      </x:bottom>
    </x:border>
    <x:border>
      <x:left style="thin">
        <x:color rgb="FFFFFF"/>
      </x:left>
      <x:right style="thin">
        <x:color rgb="FFFFFF"/>
      </x:right>
      <x:top style="thin">
        <x:color rgb="FFFFFF"/>
      </x:top>
      <x:bottom style="thin">
        <x:color rgb="FFFFFF"/>
      </x:bottom>
    </x:border>
    <x:border>
      <x:top style="thick"/>
    </x:border>
    <x:border>
      <x:top style="thick">
        <x:color rgb="1F4E78"/>
      </x:top>
    </x:border>
    <x:border>
      <x:right>
        <x:color rgb="D9E2F3"/>
      </x:right>
      <x:bottom>
        <x:color rgb="D9E2F3"/>
      </x:bottom>
    </x:border>
    <x:border>
      <x:left>
        <x:color rgb="D9E2F3"/>
      </x:left>
      <x:right>
        <x:color rgb="D9E2F3"/>
      </x:right>
      <x:bottom>
        <x:color rgb="D9E2F3"/>
      </x:bottom>
    </x:border>
    <x:border>
      <x:left>
        <x:color rgb="D9E2F3"/>
      </x:left>
      <x:bottom>
        <x:color rgb="D9E2F3"/>
      </x:bottom>
    </x:border>
    <x:border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top>
        <x:color rgb="D9E2F3"/>
      </x:top>
      <x:bottom>
        <x:color rgb="D9E2F3"/>
      </x:bottom>
    </x:border>
    <x:border>
      <x:right>
        <x:color rgb="D9E2F3"/>
      </x:right>
      <x:top>
        <x:color rgb="D9E2F3"/>
      </x:top>
    </x:border>
    <x:border>
      <x:left>
        <x:color rgb="D9E2F3"/>
      </x:left>
      <x:right>
        <x:color rgb="D9E2F3"/>
      </x:right>
      <x:top>
        <x:color rgb="D9E2F3"/>
      </x:top>
    </x:border>
    <x:border>
      <x:left>
        <x:color rgb="D9E2F3"/>
      </x:left>
      <x:top>
        <x:color rgb="D9E2F3"/>
      </x:top>
    </x:border>
  </x:borders>
  <x:cellStyleXfs count="1">
    <x:xf numFmtId="0" fontId="0" fillId="0" borderId="0"/>
  </x:cellStyleXfs>
  <x:cellXfs count="2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top"/>
    </x:xf>
    <x:xf numFmtId="0" fontId="0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horizontal="center" vertical="top"/>
    </x:xf>
    <x:xf numFmtId="0" fontId="5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200" fontId="8" fillId="6" borderId="0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</x:xf>
    <x:xf numFmtId="20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20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200" fontId="8" fillId="7" borderId="0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 wrapText="1"/>
    </x:xf>
    <x:xf numFmtId="20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20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200" fontId="8" fillId="8" borderId="0" xfId="0" applyNumberFormat="1" applyFont="1" applyFill="1" applyBorder="1" applyAlignment="1">
      <x:alignment vertical="top" wrapText="1"/>
    </x:xf>
    <x:xf numFmtId="0" fontId="8" fillId="8" borderId="0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200" fontId="8" fillId="5" borderId="0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vertical="top" wrapText="1"/>
    </x:xf>
    <x:xf numFmtId="20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20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wrapText="1"/>
    </x:xf>
    <x:xf numFmtId="200" fontId="8" fillId="9" borderId="0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 wrapText="1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top" wrapText="1"/>
    </x:xf>
    <x:xf numFmtId="0" fontId="8" fillId="6" borderId="0" xfId="0" applyNumberFormat="1" applyFont="1" applyFill="1" applyBorder="1" applyAlignment="1">
      <x:alignment horizontal="center" vertical="top" wrapText="1"/>
    </x:xf>
    <x:xf numFmtId="0" fontId="8" fillId="9" borderId="0" xfId="0" applyNumberFormat="1" applyFont="1" applyFill="1" applyBorder="1" applyAlignment="1">
      <x:alignment horizontal="center" vertical="top" wrapText="1"/>
    </x:xf>
    <x:xf numFmtId="0" fontId="8" fillId="8" borderId="0" xfId="0" applyNumberFormat="1" applyFont="1" applyFill="1" applyBorder="1" applyAlignment="1">
      <x:alignment horizontal="center" vertical="top" wrapText="1"/>
    </x:xf>
    <x:xf numFmtId="0" fontId="8" fillId="10" borderId="0" xfId="0" applyNumberFormat="1" applyFont="1" applyFill="1" applyBorder="1" applyAlignment="1">
      <x:alignment horizontal="center" vertical="top" wrapText="1"/>
    </x:xf>
    <x:xf numFmtId="0" fontId="8" fillId="10" borderId="0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horizontal="center" vertical="top" wrapText="1"/>
    </x:xf>
    <x:xf numFmtId="0" fontId="8" fillId="5" borderId="0" xfId="0" applyNumberFormat="1" applyFont="1" applyFill="1" applyBorder="1" applyAlignment="1">
      <x:alignment horizontal="center" vertical="top" wrapText="1"/>
    </x:xf>
    <x:xf numFmtId="200" fontId="0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200" fontId="8" fillId="10" borderId="0" xfId="0" applyNumberFormat="1" applyFont="1" applyFill="1" applyBorder="1" applyAlignment="1">
      <x:alignment wrapText="1"/>
    </x:xf>
    <x:xf numFmtId="200" fontId="8" fillId="1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/>
    </x:xf>
    <x:xf numFmtId="0" fontId="10" fillId="4" borderId="0" xfId="0" applyNumberFormat="1" applyFont="1" applyFill="1" applyBorder="1" applyAlignment="1">
      <x:alignment horizontal="center" vertical="top"/>
    </x:xf>
    <x:xf numFmtId="0" fontId="10" fillId="4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0" fontId="7" fillId="4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2" xfId="0" applyNumberFormat="1" applyFont="1" applyFill="1" applyBorder="1"/>
    <x:xf numFmtId="0" fontId="3" fillId="11" borderId="3" xfId="0" applyNumberFormat="1" applyFont="1" applyFill="1" applyBorder="1"/>
    <x:xf numFmtId="0" fontId="3" fillId="11" borderId="2" xfId="0" applyNumberFormat="1" applyFont="1" applyFill="1" applyBorder="1" applyAlignment="1">
      <x:alignment wrapText="1"/>
    </x:xf>
    <x:xf numFmtId="0" fontId="3" fillId="11" borderId="3" xfId="0" applyNumberFormat="1" applyFont="1" applyFill="1" applyBorder="1" applyAlignment="1">
      <x:alignment wrapText="1"/>
    </x:xf>
    <x:xf numFmtId="0" fontId="3" fillId="11" borderId="2" xfId="0" applyNumberFormat="1" applyFont="1" applyFill="1" applyBorder="1" applyAlignment="1">
      <x:alignment horizontal="center" wrapText="1"/>
    </x:xf>
    <x:xf numFmtId="0" fontId="3" fillId="11" borderId="3" xfId="0" applyNumberFormat="1" applyFont="1" applyFill="1" applyBorder="1" applyAlignment="1">
      <x:alignment horizontal="center" wrapText="1"/>
    </x:xf>
    <x:xf numFmtId="0" fontId="3" fillId="11" borderId="2" xfId="0" applyNumberFormat="1" applyFont="1" applyFill="1" applyBorder="1" applyAlignment="1">
      <x:alignment horizontal="center" vertical="center" wrapText="1"/>
    </x:xf>
    <x:xf numFmtId="0" fontId="3" fillId="11" borderId="3" xfId="0" applyNumberFormat="1" applyFont="1" applyFill="1" applyBorder="1" applyAlignment="1">
      <x:alignment horizontal="center" vertical="center" wrapText="1"/>
    </x:xf>
    <x:xf numFmtId="0" fontId="3" fillId="11" borderId="4" xfId="0" applyNumberFormat="1" applyFont="1" applyFill="1" applyBorder="1"/>
    <x:xf numFmtId="0" fontId="3" fillId="11" borderId="4" xfId="0" applyNumberFormat="1" applyFont="1" applyFill="1" applyBorder="1" applyAlignment="1">
      <x:alignment wrapText="1"/>
    </x:xf>
    <x:xf numFmtId="0" fontId="3" fillId="11" borderId="4" xfId="0" applyNumberFormat="1" applyFont="1" applyFill="1" applyBorder="1" applyAlignment="1">
      <x:alignment horizontal="center" wrapText="1"/>
    </x:xf>
    <x:xf numFmtId="0" fontId="3" fillId="11" borderId="4" xfId="0" applyNumberFormat="1" applyFont="1" applyFill="1" applyBorder="1" applyAlignment="1">
      <x:alignment horizontal="center" vertical="center" wrapText="1"/>
    </x:xf>
    <x:xf numFmtId="200" fontId="7" fillId="9" borderId="0" xfId="0" applyNumberFormat="1" applyFont="1" applyFill="1" applyBorder="1" applyAlignment="1">
      <x:alignment vertical="top" wrapText="1"/>
    </x:xf>
    <x:xf numFmtId="0" fontId="7" fillId="9" borderId="0" xfId="0" applyNumberFormat="1" applyFont="1" applyFill="1" applyBorder="1" applyAlignment="1">
      <x:alignment vertical="top" wrapText="1"/>
    </x:xf>
    <x:xf numFmtId="200" fontId="7" fillId="11" borderId="0" xfId="0" applyNumberFormat="1" applyFont="1" applyFill="1" applyBorder="1" applyAlignment="1">
      <x:alignment vertical="top" wrapText="1"/>
    </x:xf>
    <x:xf numFmtId="0" fontId="7" fillId="11" borderId="0" xfId="0" applyNumberFormat="1" applyFont="1" applyFill="1" applyBorder="1" applyAlignment="1">
      <x:alignment vertical="top" wrapText="1"/>
    </x:xf>
    <x:xf numFmtId="200" fontId="7" fillId="11" borderId="0" xfId="0" applyNumberFormat="1" applyFont="1" applyFill="1" applyBorder="1" applyAlignment="1">
      <x:alignment horizontal="center" vertical="top" wrapText="1"/>
    </x:xf>
    <x:xf numFmtId="0" fontId="7" fillId="11" borderId="0" xfId="0" applyNumberFormat="1" applyFont="1" applyFill="1" applyBorder="1" applyAlignment="1">
      <x:alignment horizontal="center" vertical="top" wrapText="1"/>
    </x:xf>
    <x:xf numFmtId="200" fontId="7" fillId="11" borderId="0" xfId="0" applyNumberFormat="1" applyFont="1" applyFill="1" applyBorder="1" applyAlignment="1">
      <x:alignment horizontal="center" vertical="center" wrapText="1"/>
    </x:xf>
    <x:xf numFmtId="0" fontId="7" fillId="11" borderId="0" xfId="0" applyNumberFormat="1" applyFont="1" applyFill="1" applyBorder="1" applyAlignment="1">
      <x:alignment horizontal="center" vertical="center" wrapText="1"/>
    </x:xf>
    <x:xf numFmtId="200" fontId="7" fillId="11" borderId="5" xfId="0" applyNumberFormat="1" applyFont="1" applyFill="1" applyBorder="1" applyAlignment="1">
      <x:alignment horizontal="center" vertical="center" wrapText="1"/>
    </x:xf>
    <x:xf numFmtId="0" fontId="7" fillId="11" borderId="5" xfId="0" applyNumberFormat="1" applyFont="1" applyFill="1" applyBorder="1" applyAlignment="1">
      <x:alignment horizontal="center" vertical="center" wrapText="1"/>
    </x:xf>
    <x:xf numFmtId="0" fontId="8" fillId="9" borderId="5" xfId="0" applyNumberFormat="1" applyFont="1" applyFill="1" applyBorder="1" applyAlignment="1">
      <x:alignment vertical="top" wrapText="1"/>
    </x:xf>
    <x:xf numFmtId="200" fontId="7" fillId="11" borderId="6" xfId="0" applyNumberFormat="1" applyFont="1" applyFill="1" applyBorder="1" applyAlignment="1">
      <x:alignment horizontal="center" vertical="center" wrapText="1"/>
    </x:xf>
    <x:xf numFmtId="0" fontId="7" fillId="11" borderId="6" xfId="0" applyNumberFormat="1" applyFont="1" applyFill="1" applyBorder="1" applyAlignment="1">
      <x:alignment horizontal="center" vertical="center" wrapText="1"/>
    </x:xf>
    <x:xf numFmtId="0" fontId="8" fillId="9" borderId="6" xfId="0" applyNumberFormat="1" applyFont="1" applyFill="1" applyBorder="1" applyAlignment="1">
      <x:alignment vertical="top" wrapText="1"/>
    </x:xf>
    <x:xf numFmtId="200" fontId="7" fillId="6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8" fillId="6" borderId="5" xfId="0" applyNumberFormat="1" applyFont="1" applyFill="1" applyBorder="1" applyAlignment="1">
      <x:alignment vertical="top" wrapText="1"/>
    </x:xf>
    <x:xf numFmtId="0" fontId="8" fillId="6" borderId="6" xfId="0" applyNumberFormat="1" applyFont="1" applyFill="1" applyBorder="1" applyAlignment="1">
      <x:alignment vertical="top" wrapText="1"/>
    </x:xf>
    <x:xf numFmtId="200" fontId="7" fillId="5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8" fillId="5" borderId="5" xfId="0" applyNumberFormat="1" applyFont="1" applyFill="1" applyBorder="1" applyAlignment="1">
      <x:alignment vertical="top" wrapText="1"/>
    </x:xf>
    <x:xf numFmtId="0" fontId="8" fillId="5" borderId="6" xfId="0" applyNumberFormat="1" applyFont="1" applyFill="1" applyBorder="1" applyAlignment="1">
      <x:alignment vertical="top" wrapText="1"/>
    </x:xf>
    <x:xf numFmtId="200" fontId="7" fillId="10" borderId="0" xfId="0" applyNumberFormat="1" applyFont="1" applyFill="1" applyBorder="1" applyAlignment="1">
      <x:alignment vertical="top" wrapText="1"/>
    </x:xf>
    <x:xf numFmtId="0" fontId="7" fillId="10" borderId="0" xfId="0" applyNumberFormat="1" applyFont="1" applyFill="1" applyBorder="1" applyAlignment="1">
      <x:alignment vertical="top" wrapText="1"/>
    </x:xf>
    <x:xf numFmtId="0" fontId="8" fillId="10" borderId="5" xfId="0" applyNumberFormat="1" applyFont="1" applyFill="1" applyBorder="1" applyAlignment="1">
      <x:alignment vertical="top" wrapText="1"/>
    </x:xf>
    <x:xf numFmtId="0" fontId="8" fillId="10" borderId="6" xfId="0" applyNumberFormat="1" applyFont="1" applyFill="1" applyBorder="1" applyAlignment="1">
      <x:alignment vertical="top" wrapText="1"/>
    </x:xf>
    <x:xf numFmtId="200" fontId="7" fillId="8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8" fillId="8" borderId="5" xfId="0" applyNumberFormat="1" applyFont="1" applyFill="1" applyBorder="1" applyAlignment="1">
      <x:alignment vertical="top" wrapText="1"/>
    </x:xf>
    <x:xf numFmtId="0" fontId="8" fillId="8" borderId="6" xfId="0" applyNumberFormat="1" applyFont="1" applyFill="1" applyBorder="1" applyAlignment="1">
      <x:alignment vertical="top" wrapText="1"/>
    </x:xf>
    <x:xf numFmtId="0" fontId="10" fillId="12" borderId="0" xfId="0" applyNumberFormat="1" applyFont="1" applyFill="1" applyBorder="1" applyAlignment="1">
      <x:alignment horizontal="center" vertical="top"/>
    </x:xf>
    <x:xf numFmtId="0" fontId="0" fillId="12" borderId="0" xfId="0" applyNumberFormat="1" applyFont="1" applyFill="1" applyBorder="1" applyAlignment="1">
      <x:alignment vertical="top"/>
    </x:xf>
    <x:xf numFmtId="0" fontId="5" fillId="12" borderId="0" xfId="0" applyNumberFormat="1" applyFont="1" applyFill="1" applyBorder="1" applyAlignment="1">
      <x:alignment horizontal="center" vertical="top"/>
    </x:xf>
    <x:xf numFmtId="0" fontId="5" fillId="12" borderId="0" xfId="0" applyNumberFormat="1" applyFont="1" applyFill="1" applyBorder="1" applyAlignment="1">
      <x:alignment vertical="top"/>
    </x:xf>
    <x:xf numFmtId="0" fontId="5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11" fillId="13" borderId="0" xfId="0" applyNumberFormat="1" applyFont="1" applyFill="1" applyBorder="1" applyAlignment="1">
      <x:alignment wrapText="1"/>
    </x:xf>
    <x:xf numFmtId="0" fontId="11" fillId="13" borderId="0" xfId="0" applyNumberFormat="1" applyFont="1" applyFill="1" applyBorder="1" applyAlignment="1">
      <x:alignment horizontal="left" wrapText="1"/>
    </x:xf>
    <x:xf numFmtId="0" fontId="11" fillId="13" borderId="0" xfId="0" applyNumberFormat="1" applyFont="1" applyFill="1" applyBorder="1" applyAlignment="1">
      <x:alignment horizontal="left" vertical="center" wrapText="1"/>
    </x:xf>
    <x:xf numFmtId="0" fontId="7" fillId="14" borderId="0" xfId="0" applyNumberFormat="1" applyFont="1" applyFill="1" applyBorder="1"/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7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wrapText="1"/>
    </x:xf>
    <x:xf numFmtId="0" fontId="7" fillId="14" borderId="0" xfId="0" applyNumberFormat="1" applyFont="1" applyFill="1" applyBorder="1" applyAlignment="1">
      <x:alignment horizontal="center" wrapText="1"/>
    </x:xf>
    <x:xf numFmtId="0" fontId="3" fillId="14" borderId="0" xfId="0" applyNumberFormat="1" applyFont="1" applyFill="1" applyBorder="1" applyAlignment="1">
      <x:alignment horizontal="center" wrapText="1"/>
    </x:xf>
    <x:xf numFmtId="0" fontId="7" fillId="14" borderId="0" xfId="0" applyNumberFormat="1" applyFont="1" applyFill="1" applyBorder="1" applyAlignment="1">
      <x:alignment horizontal="center" vertic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top" wrapText="1"/>
    </x:xf>
    <x:xf numFmtId="0" fontId="12" fillId="15" borderId="0" xfId="0" applyNumberFormat="1" applyFont="1" applyFill="1" applyBorder="1" applyAlignment="1">
      <x:alignment vertical="top" wrapText="1"/>
    </x:xf>
    <x:xf numFmtId="0" fontId="13" fillId="15" borderId="0" xfId="0" applyNumberFormat="1" applyFont="1" applyFill="1" applyBorder="1" applyAlignment="1">
      <x:alignment vertical="top" wrapText="1"/>
    </x:xf>
    <x:xf numFmtId="0" fontId="13" fillId="15" borderId="0" xfId="0" applyNumberFormat="1" applyFont="1" applyFill="1" applyBorder="1" applyAlignment="1">
      <x:alignment vertical="center" wrapText="1"/>
    </x:xf>
    <x:xf numFmtId="0" fontId="12" fillId="16" borderId="0" xfId="0" applyNumberFormat="1" applyFont="1" applyFill="1" applyBorder="1" applyAlignment="1">
      <x:alignment vertical="top" wrapText="1"/>
    </x:xf>
    <x:xf numFmtId="0" fontId="14" fillId="16" borderId="0" xfId="0" applyNumberFormat="1" applyFont="1" applyFill="1" applyBorder="1" applyAlignment="1">
      <x:alignment vertical="top" wrapText="1"/>
    </x:xf>
    <x:xf numFmtId="0" fontId="13" fillId="16" borderId="0" xfId="0" applyNumberFormat="1" applyFont="1" applyFill="1" applyBorder="1" applyAlignment="1">
      <x:alignment vertical="top" wrapText="1"/>
    </x:xf>
    <x:xf numFmtId="0" fontId="13" fillId="16" borderId="0" xfId="0" applyNumberFormat="1" applyFont="1" applyFill="1" applyBorder="1" applyAlignment="1">
      <x:alignment horizontal="center" vertical="top" wrapText="1"/>
    </x:xf>
    <x:xf numFmtId="200" fontId="13" fillId="15" borderId="0" xfId="0" applyNumberFormat="1" applyFont="1" applyFill="1" applyBorder="1" applyAlignment="1">
      <x:alignment vertical="center" wrapText="1"/>
    </x:xf>
    <x:xf numFmtId="201" fontId="13" fillId="15" borderId="0" xfId="0" applyNumberFormat="1" applyFont="1" applyFill="1" applyBorder="1" applyAlignment="1">
      <x:alignment vertical="top" wrapText="1"/>
    </x:xf>
    <x:xf numFmtId="202" fontId="13" fillId="15" borderId="0" xfId="0" applyNumberFormat="1" applyFont="1" applyFill="1" applyBorder="1" applyAlignment="1">
      <x:alignment vertical="center" wrapText="1"/>
    </x:xf>
    <x:xf numFmtId="203" fontId="13" fillId="15" borderId="0" xfId="0" applyNumberFormat="1" applyFont="1" applyFill="1" applyBorder="1" applyAlignment="1">
      <x:alignment vertical="center" wrapText="1"/>
    </x:xf>
    <x:xf numFmtId="202" fontId="12" fillId="0" borderId="0" xfId="0" applyNumberFormat="1" applyFont="1" applyFill="1" applyBorder="1" applyAlignment="1">
      <x:alignment vertical="top" wrapText="1"/>
    </x:xf>
    <x:xf numFmtId="202" fontId="13" fillId="16" borderId="0" xfId="0" applyNumberFormat="1" applyFont="1" applyFill="1" applyBorder="1" applyAlignment="1">
      <x:alignment horizontal="center" vertical="top" wrapText="1"/>
    </x:xf>
    <x:xf numFmtId="203" fontId="12" fillId="0" borderId="0" xfId="0" applyNumberFormat="1" applyFont="1" applyFill="1" applyBorder="1" applyAlignment="1">
      <x:alignment vertical="top" wrapText="1"/>
    </x:xf>
    <x:xf numFmtId="0" fontId="7" fillId="13" borderId="0" xfId="0" applyNumberFormat="1" applyFont="1" applyFill="1" applyBorder="1" applyAlignment="1">
      <x:alignment wrapText="1"/>
    </x:xf>
    <x:xf numFmtId="0" fontId="15" fillId="13" borderId="0" xfId="0" applyNumberFormat="1" applyFont="1" applyFill="1" applyBorder="1" applyAlignment="1">
      <x:alignment wrapText="1"/>
    </x:xf>
    <x:xf numFmtId="0" fontId="15" fillId="13" borderId="0" xfId="0" applyNumberFormat="1" applyFont="1" applyFill="1" applyBorder="1" applyAlignment="1">
      <x:alignment vertical="center" wrapText="1"/>
    </x:xf>
    <x:xf numFmtId="0" fontId="7" fillId="12" borderId="0" xfId="0" applyNumberFormat="1" applyFont="1" applyFill="1" applyBorder="1" applyAlignment="1">
      <x:alignment horizontal="center" vertical="center" wrapText="1"/>
    </x:xf>
    <x:xf numFmtId="0" fontId="7" fillId="17" borderId="0" xfId="0" applyNumberFormat="1" applyFont="1" applyFill="1" applyBorder="1"/>
    <x:xf numFmtId="0" fontId="0" fillId="17" borderId="0" xfId="0" applyNumberFormat="1" applyFont="1" applyFill="1" applyBorder="1"/>
    <x:xf numFmtId="203" fontId="12" fillId="0" borderId="0" xfId="0" applyNumberFormat="1" applyFont="1" applyFill="1" applyBorder="1" applyAlignment="1">
      <x:alignment horizontal="center" vertical="top" wrapText="1"/>
    </x:xf>
    <x:xf numFmtId="202" fontId="12" fillId="0" borderId="0" xfId="0" applyNumberFormat="1" applyFont="1" applyFill="1" applyBorder="1" applyAlignment="1">
      <x:alignment horizontal="center" vertical="top" wrapText="1"/>
    </x:xf>
    <x:xf numFmtId="200" fontId="13" fillId="15" borderId="0" xfId="0" applyNumberFormat="1" applyFont="1" applyFill="1" applyBorder="1" applyAlignment="1">
      <x:alignment horizontal="center" vertical="center" wrapText="1"/>
    </x:xf>
    <x:xf numFmtId="203" fontId="13" fillId="15" borderId="0" xfId="0" applyNumberFormat="1" applyFont="1" applyFill="1" applyBorder="1" applyAlignment="1">
      <x:alignment horizontal="center" vertical="center" wrapText="1"/>
    </x:xf>
    <x:xf numFmtId="202" fontId="13" fillId="15" borderId="0" xfId="0" applyNumberFormat="1" applyFont="1" applyFill="1" applyBorder="1" applyAlignment="1">
      <x:alignment horizontal="center" vertical="center" wrapText="1"/>
    </x:xf>
    <x:xf numFmtId="0" fontId="13" fillId="15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horizontal="left" vertical="top" wrapText="1"/>
    </x:xf>
    <x:xf numFmtId="0" fontId="14" fillId="16" borderId="0" xfId="0" applyNumberFormat="1" applyFont="1" applyFill="1" applyBorder="1" applyAlignment="1">
      <x:alignment horizontal="left" vertical="top" wrapText="1"/>
    </x:xf>
    <x:xf numFmtId="0" fontId="7" fillId="5" borderId="0" xfId="0" applyNumberFormat="1" applyFont="1" applyFill="1" applyBorder="1"/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horizontal="center" wrapText="1"/>
    </x:xf>
    <x:xf numFmtId="0" fontId="3" fillId="18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4" fillId="19" borderId="0" xfId="0" applyNumberFormat="1" applyFont="1" applyFill="1" applyBorder="1"/>
    <x:xf numFmtId="0" fontId="4" fillId="19" borderId="0" xfId="0" applyNumberFormat="1" applyFont="1" applyFill="1" applyBorder="1" applyAlignment="1">
      <x:alignment horizontal="center"/>
    </x:xf>
    <x:xf numFmtId="0" fontId="4" fillId="19" borderId="0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/>
    <x:xf numFmtId="0" fontId="16" fillId="20" borderId="0" xfId="0" applyNumberFormat="1" applyFont="1" applyFill="1" applyBorder="1"/>
    <x:xf numFmtId="0" fontId="16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17" fillId="21" borderId="0" xfId="0" applyNumberFormat="1" applyFont="1" applyFill="1" applyBorder="1"/>
    <x:xf numFmtId="0" fontId="17" fillId="21" borderId="0" xfId="0" applyNumberFormat="1" applyFont="1" applyFill="1" applyBorder="1" applyAlignment="1">
      <x:alignment horizontal="left"/>
    </x:xf>
    <x:xf numFmtId="0" fontId="17" fillId="21" borderId="0" xfId="0" applyNumberFormat="1" applyFont="1" applyFill="1" applyBorder="1" applyAlignment="1">
      <x:alignment horizontal="left" vertical="center"/>
    </x:xf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wrapText="1"/>
    </x:xf>
    <x:xf numFmtId="0" fontId="3" fillId="22" borderId="0" xfId="0" applyNumberFormat="1" applyFont="1" applyFill="1" applyBorder="1" applyAlignment="1">
      <x:alignment horizontal="center" wrapText="1"/>
    </x:xf>
    <x:xf numFmtId="0" fontId="3" fillId="22" borderId="0" xfId="0" applyNumberFormat="1" applyFont="1" applyFill="1" applyBorder="1" applyAlignment="1">
      <x:alignment horizontal="center" vertical="center" wrapText="1"/>
    </x:xf>
    <x:xf numFmtId="0" fontId="4" fillId="19" borderId="0" xfId="0" applyNumberFormat="1" applyFont="1" applyFill="1" applyBorder="1" applyAlignment="1">
      <x:alignment horizontal="center" vertical="center" wrapText="1"/>
    </x:xf>
    <x:xf numFmtId="0" fontId="17" fillId="21" borderId="0" xfId="0" applyNumberFormat="1" applyFont="1" applyFill="1" applyBorder="1" applyAlignment="1">
      <x:alignment horizontal="left" vertical="center" wrapText="1"/>
    </x:xf>
    <x:xf numFmtId="0" fontId="4" fillId="19" borderId="0" xfId="0" applyNumberFormat="1" applyFont="1" applyFill="1" applyBorder="1" applyAlignment="1">
      <x:alignment horizontal="center" vertical="top" wrapText="1"/>
    </x:xf>
    <x:xf numFmtId="0" fontId="16" fillId="20" borderId="0" xfId="0" applyNumberFormat="1" applyFont="1" applyFill="1" applyBorder="1" applyAlignment="1">
      <x:alignment vertical="top" wrapText="1"/>
    </x:xf>
    <x:xf numFmtId="0" fontId="17" fillId="21" borderId="0" xfId="0" applyNumberFormat="1" applyFont="1" applyFill="1" applyBorder="1" applyAlignment="1">
      <x:alignment horizontal="left" vertical="top" wrapText="1"/>
    </x:xf>
    <x:xf numFmtId="0" fontId="3" fillId="22" borderId="0" xfId="0" applyNumberFormat="1" applyFont="1" applyFill="1" applyBorder="1" applyAlignment="1">
      <x:alignment horizontal="center" vertical="top" wrapText="1"/>
    </x:xf>
    <x:xf numFmtId="0" fontId="0" fillId="23" borderId="0" xfId="0" applyNumberFormat="1" applyFont="1" applyFill="1" applyBorder="1" applyAlignment="1">
      <x:alignment vertical="top" wrapText="1"/>
    </x:xf>
    <x:xf numFmtId="0" fontId="18" fillId="23" borderId="0" xfId="0" applyNumberFormat="1" applyFont="1" applyFill="1" applyBorder="1" applyAlignment="1">
      <x:alignment vertical="top" wrapText="1"/>
    </x:xf>
    <x:xf numFmtId="0" fontId="18" fillId="23" borderId="0" xfId="0" applyNumberFormat="1" applyFont="1" applyFill="1" applyBorder="1" applyAlignment="1">
      <x:alignment horizontal="center" vertical="top" wrapText="1"/>
    </x:xf>
    <x:xf numFmtId="0" fontId="0" fillId="24" borderId="0" xfId="0" applyNumberFormat="1" applyFont="1" applyFill="1" applyBorder="1" applyAlignment="1">
      <x:alignment vertical="top" wrapText="1"/>
    </x:xf>
    <x:xf numFmtId="0" fontId="18" fillId="24" borderId="0" xfId="0" applyNumberFormat="1" applyFont="1" applyFill="1" applyBorder="1" applyAlignment="1">
      <x:alignment vertical="top" wrapText="1"/>
    </x:xf>
    <x:xf numFmtId="205" fontId="18" fillId="23" borderId="0" xfId="0" applyNumberFormat="1" applyFont="1" applyFill="1" applyBorder="1" applyAlignment="1">
      <x:alignment horizontal="center" vertical="top" wrapText="1"/>
    </x:xf>
    <x:xf numFmtId="205" fontId="0" fillId="0" borderId="0" xfId="0" applyNumberFormat="1" applyFont="1" applyFill="1" applyBorder="1" applyAlignment="1">
      <x:alignment vertical="top" wrapText="1"/>
    </x:xf>
    <x:xf numFmtId="206" fontId="0" fillId="0" borderId="0" xfId="0" applyNumberFormat="1" applyFont="1" applyFill="1" applyBorder="1" applyAlignment="1">
      <x:alignment vertical="top" wrapText="1"/>
    </x:xf>
    <x:xf numFmtId="207" fontId="0" fillId="0" borderId="0" xfId="0" applyNumberFormat="1" applyFont="1" applyFill="1" applyBorder="1" applyAlignment="1">
      <x:alignment vertical="top" wrapText="1"/>
    </x:xf>
    <x:xf numFmtId="203" fontId="0" fillId="25" borderId="0" xfId="0" applyNumberFormat="1" applyFont="1" applyFill="1" applyBorder="1" applyAlignment="1">
      <x:alignment vertical="top" wrapText="1"/>
    </x:xf>
    <x:xf numFmtId="203" fontId="19" fillId="25" borderId="0" xfId="0" applyNumberFormat="1" applyFont="1" applyFill="1" applyBorder="1" applyAlignment="1">
      <x:alignment vertical="top" wrapText="1"/>
    </x:xf>
    <x:xf numFmtId="203" fontId="19" fillId="25" borderId="0" xfId="0" applyNumberFormat="1" applyFont="1" applyFill="1" applyBorder="1" applyAlignment="1">
      <x:alignment horizontal="center" vertical="top" wrapText="1"/>
    </x:xf>
    <x:xf numFmtId="0" fontId="0" fillId="25" borderId="0" xfId="0" applyNumberFormat="1" applyFont="1" applyFill="1" applyBorder="1" applyAlignment="1">
      <x:alignment vertical="top" wrapText="1"/>
    </x:xf>
    <x:xf numFmtId="0" fontId="19" fillId="25" borderId="0" xfId="0" applyNumberFormat="1" applyFont="1" applyFill="1" applyBorder="1" applyAlignment="1">
      <x:alignment vertical="top" wrapText="1"/>
    </x:xf>
    <x:xf numFmtId="0" fontId="19" fillId="25" borderId="0" xfId="0" applyNumberFormat="1" applyFont="1" applyFill="1" applyBorder="1" applyAlignment="1">
      <x:alignment horizontal="center" vertical="top" wrapText="1"/>
    </x:xf>
    <x:xf numFmtId="206" fontId="0" fillId="25" borderId="0" xfId="0" applyNumberFormat="1" applyFont="1" applyFill="1" applyBorder="1" applyAlignment="1">
      <x:alignment vertical="top" wrapText="1"/>
    </x:xf>
    <x:xf numFmtId="206" fontId="19" fillId="25" borderId="0" xfId="0" applyNumberFormat="1" applyFont="1" applyFill="1" applyBorder="1" applyAlignment="1">
      <x:alignment vertical="top" wrapText="1"/>
    </x:xf>
    <x:xf numFmtId="206" fontId="19" fillId="25" borderId="0" xfId="0" applyNumberFormat="1" applyFont="1" applyFill="1" applyBorder="1" applyAlignment="1">
      <x:alignment horizontal="center" vertical="top" wrapText="1"/>
    </x:xf>
    <x:xf numFmtId="207" fontId="0" fillId="25" borderId="0" xfId="0" applyNumberFormat="1" applyFont="1" applyFill="1" applyBorder="1" applyAlignment="1">
      <x:alignment vertical="top" wrapText="1"/>
    </x:xf>
    <x:xf numFmtId="207" fontId="19" fillId="25" borderId="0" xfId="0" applyNumberFormat="1" applyFont="1" applyFill="1" applyBorder="1" applyAlignment="1">
      <x:alignment vertical="top" wrapText="1"/>
    </x:xf>
    <x:xf numFmtId="207" fontId="19" fillId="25" borderId="0" xfId="0" applyNumberFormat="1" applyFont="1" applyFill="1" applyBorder="1" applyAlignment="1">
      <x:alignment horizontal="center" vertical="top" wrapText="1"/>
    </x:xf>
    <x:xf numFmtId="0" fontId="3" fillId="22" borderId="7" xfId="0" applyNumberFormat="1" applyFont="1" applyFill="1" applyBorder="1" applyAlignment="1">
      <x:alignment horizontal="center" vertical="top" wrapText="1"/>
    </x:xf>
    <x:xf numFmtId="0" fontId="3" fillId="22" borderId="8" xfId="0" applyNumberFormat="1" applyFont="1" applyFill="1" applyBorder="1" applyAlignment="1">
      <x:alignment horizontal="center" vertical="top" wrapText="1"/>
    </x:xf>
    <x:xf numFmtId="0" fontId="3" fillId="22" borderId="9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5" fontId="18" fillId="23" borderId="11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vertical="top" wrapText="1"/>
    </x:xf>
    <x:xf numFmtId="205" fontId="0" fillId="0" borderId="11" xfId="0" applyNumberFormat="1" applyFont="1" applyFill="1" applyBorder="1" applyAlignment="1">
      <x:alignment vertical="top" wrapText="1"/>
    </x:xf>
    <x:xf numFmtId="0" fontId="18" fillId="24" borderId="11" xfId="0" applyNumberFormat="1" applyFont="1" applyFill="1" applyBorder="1" applyAlignment="1">
      <x:alignment vertical="top" wrapText="1"/>
    </x:xf>
    <x:xf numFmtId="0" fontId="18" fillId="24" borderId="12" xfId="0" applyNumberFormat="1" applyFont="1" applyFill="1" applyBorder="1" applyAlignment="1">
      <x:alignment vertical="top" wrapText="1"/>
    </x:xf>
    <x:xf numFmtId="0" fontId="18" fillId="23" borderId="11" xfId="0" applyNumberFormat="1" applyFont="1" applyFill="1" applyBorder="1" applyAlignment="1">
      <x:alignment horizontal="center" vertical="top" wrapText="1"/>
    </x:xf>
    <x:xf numFmtId="202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203" fontId="19" fillId="25" borderId="11" xfId="0" applyNumberFormat="1" applyFont="1" applyFill="1" applyBorder="1" applyAlignment="1">
      <x:alignment horizontal="center" vertical="top" wrapText="1"/>
    </x:xf>
    <x:xf numFmtId="203" fontId="0" fillId="0" borderId="11" xfId="0" applyNumberFormat="1" applyFont="1" applyFill="1" applyBorder="1" applyAlignment="1">
      <x:alignment vertical="top" wrapText="1"/>
    </x:xf>
    <x:xf numFmtId="203" fontId="0" fillId="0" borderId="14" xfId="0" applyNumberFormat="1" applyFont="1" applyFill="1" applyBorder="1" applyAlignment="1">
      <x:alignment vertical="top" wrapText="1"/>
    </x:xf>
    <x:xf numFmtId="0" fontId="19" fillId="25" borderId="11" xfId="0" applyNumberFormat="1" applyFont="1" applyFill="1" applyBorder="1" applyAlignment="1">
      <x:alignment horizontal="center" vertical="top" wrapText="1"/>
    </x:xf>
    <x:xf numFmtId="0" fontId="19" fillId="25" borderId="14" xfId="0" applyNumberFormat="1" applyFont="1" applyFill="1" applyBorder="1" applyAlignment="1">
      <x:alignment horizontal="center" vertical="top" wrapText="1"/>
    </x:xf>
    <x:xf numFmtId="206" fontId="19" fillId="25" borderId="11" xfId="0" applyNumberFormat="1" applyFont="1" applyFill="1" applyBorder="1" applyAlignment="1">
      <x:alignment horizontal="center" vertical="top" wrapText="1"/>
    </x:xf>
    <x:xf numFmtId="206" fontId="0" fillId="0" borderId="11" xfId="0" applyNumberFormat="1" applyFont="1" applyFill="1" applyBorder="1" applyAlignment="1">
      <x:alignment vertical="top" wrapText="1"/>
    </x:xf>
    <x:xf numFmtId="207" fontId="0" fillId="0" borderId="11" xfId="0" applyNumberFormat="1" applyFont="1" applyFill="1" applyBorder="1" applyAlignment="1">
      <x:alignment vertical="top" wrapText="1"/>
    </x:xf>
    <x:xf numFmtId="207" fontId="19" fillId="25" borderId="11" xfId="0" applyNumberFormat="1" applyFont="1" applyFill="1" applyBorder="1" applyAlignment="1">
      <x:alignment horizontal="center" vertical="top" wrapText="1"/>
    </x:xf>
    <x:xf numFmtId="0" fontId="0" fillId="21" borderId="0" xfId="0" applyNumberFormat="1" applyFont="1" applyFill="1" applyBorder="1" applyAlignment="1">
      <x:alignment vertical="top" wrapText="1"/>
    </x:xf>
    <x:xf numFmtId="0" fontId="3" fillId="21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3">
    <x:dxf>
      <x:font>
        <x:b/>
      </x:font>
      <x:fill>
        <x:patternFill>
          <x:bgColor rgb="F4B183"/>
        </x:patternFill>
      </x:fill>
    </x:dxf>
    <x:dxf>
      <x:fill>
        <x:patternFill>
          <x:bgColor rgb="F8CBAD"/>
        </x:patternFill>
      </x:fill>
    </x:dxf>
    <x:dxf>
      <x:fill>
        <x:patternFill>
          <x:bgColor rgb="D9EAD3"/>
        </x:patternFill>
      </x:fill>
    </x:dxf>
    <x:dxf>
      <x:fill>
        <x:patternFill>
          <x:bgColor rgb="DDEBF7"/>
        </x:patternFill>
      </x:fill>
    </x:dxf>
    <x:dxf>
      <x:fill>
        <x:patternFill>
          <x:bgColor rgb="E2F0D9"/>
        </x:patternFill>
      </x:fill>
    </x:dxf>
    <x:dxf>
      <x:fill>
        <x:patternFill>
          <x:bgColor rgb="E7E6E6"/>
        </x:patternFill>
      </x:fill>
    </x:dxf>
    <x:dxf>
      <x:font>
        <x:b/>
      </x:font>
      <x:fill>
        <x:patternFill>
          <x:bgColor rgb="F4B183"/>
        </x:patternFill>
      </x:fill>
    </x:dxf>
    <x:dxf>
      <x:fill>
        <x:patternFill>
          <x:bgColor rgb="F8CBAD"/>
        </x:patternFill>
      </x:fill>
    </x:dxf>
    <x:dxf>
      <x:fill>
        <x:patternFill>
          <x:bgColor rgb="D9EAD3"/>
        </x:patternFill>
      </x:fill>
    </x:dxf>
    <x:dxf>
      <x:fill>
        <x:patternFill>
          <x:bgColor rgb="DDEBF7"/>
        </x:patternFill>
      </x:fill>
    </x:dxf>
    <x:dxf>
      <x:fill>
        <x:patternFill>
          <x:bgColor rgb="E2F0D9"/>
        </x:patternFill>
      </x:fill>
    </x:dxf>
    <x:dxf>
      <x:fill>
        <x:patternFill>
          <x:bgColor rgb="E7E6E6"/>
        </x:patternFill>
      </x:fill>
    </x:dxf>
    <x:dxf>
      <x:font>
        <x:b/>
        <x:color rgb="990000"/>
      </x:font>
      <x:fill>
        <x:patternFill>
          <x:bgColor rgb="F4CCCC"/>
        </x:patternFill>
      </x:fill>
    </x:dxf>
    <x:dxf>
      <x:font>
        <x:b/>
        <x:color rgb="783F04"/>
      </x:font>
      <x:fill>
        <x:patternFill>
          <x:bgColor rgb="FCE5CD"/>
        </x:patternFill>
      </x:fill>
    </x:dxf>
    <x:dxf>
      <x:font>
        <x:b/>
        <x:color rgb="7F6000"/>
      </x:font>
      <x:fill>
        <x:patternFill>
          <x:bgColor rgb="FFF2CC"/>
        </x:patternFill>
      </x:fill>
    </x:dxf>
    <x:dxf>
      <x:font>
        <x:b/>
        <x:color rgb="274E13"/>
      </x:font>
      <x:fill>
        <x:patternFill>
          <x:bgColor rgb="D9EAD3"/>
        </x:patternFill>
      </x:fill>
    </x:dxf>
    <x:dxf>
      <x:font>
        <x:b/>
        <x:color rgb="990000"/>
      </x:font>
      <x:fill>
        <x:patternFill>
          <x:bgColor rgb="F4CCCC"/>
        </x:patternFill>
      </x:fill>
    </x:dxf>
    <x:dxf>
      <x:font>
        <x:b/>
        <x:color rgb="783F04"/>
      </x:font>
      <x:fill>
        <x:patternFill>
          <x:bgColor rgb="FCE5CD"/>
        </x:patternFill>
      </x:fill>
    </x:dxf>
    <x:dxf>
      <x:font>
        <x:b/>
        <x:color rgb="7F6000"/>
      </x:font>
      <x:fill>
        <x:patternFill>
          <x:bgColor rgb="FFF2CC"/>
        </x:patternFill>
      </x:fill>
    </x:dxf>
    <x:dxf>
      <x:font>
        <x:b/>
        <x:color rgb="274E13"/>
      </x:font>
      <x:fill>
        <x:patternFill>
          <x:bgColor rgb="D9EAD3"/>
        </x:patternFill>
      </x:fill>
    </x:dxf>
    <x:dxf>
      <x:font>
        <x:color rgb="990000"/>
      </x:font>
      <x:fill>
        <x:patternFill>
          <x:bgColor rgb="F4CCCC"/>
        </x:patternFill>
      </x:fill>
    </x:dxf>
    <x:dxf>
      <x:font>
        <x:b/>
        <x:color rgb="990000"/>
      </x:font>
      <x:fill>
        <x:patternFill>
          <x:bgColor rgb="F4CCCC"/>
        </x:patternFill>
      </x:fill>
    </x:dxf>
    <x:dxf>
      <x:font>
        <x:b/>
        <x:color rgb="783F04"/>
      </x:font>
      <x:fill>
        <x:patternFill>
          <x:bgColor rgb="FCE5CD"/>
        </x:patternFill>
      </x:fill>
    </x:dxf>
    <x:dxf>
      <x:font>
        <x:b/>
        <x:color rgb="7F6000"/>
      </x:font>
      <x:fill>
        <x:patternFill>
          <x:bgColor rgb="FFF2CC"/>
        </x:patternFill>
      </x:fill>
    </x:dxf>
    <x:dxf>
      <x:font>
        <x:b/>
        <x:color rgb="274E13"/>
      </x:font>
      <x:fill>
        <x:patternFill>
          <x:bgColor rgb="D9EAD3"/>
        </x:patternFill>
      </x:fill>
    </x:dxf>
    <x:dxf>
      <x:font>
        <x:b/>
        <x:color rgb="990000"/>
      </x:font>
      <x:fill>
        <x:patternFill>
          <x:bgColor rgb="F4CCCC"/>
        </x:patternFill>
      </x:fill>
    </x:dxf>
    <x:dxf>
      <x:font>
        <x:b/>
        <x:color rgb="783F04"/>
      </x:font>
      <x:fill>
        <x:patternFill>
          <x:bgColor rgb="FCE5CD"/>
        </x:patternFill>
      </x:fill>
    </x:dxf>
    <x:dxf>
      <x:font>
        <x:b/>
        <x:color rgb="7F6000"/>
      </x:font>
      <x:fill>
        <x:patternFill>
          <x:bgColor rgb="FFF2CC"/>
        </x:patternFill>
      </x:fill>
    </x:dxf>
    <x:dxf>
      <x:font>
        <x:b/>
        <x:color rgb="274E13"/>
      </x:font>
      <x:fill>
        <x:patternFill>
          <x:bgColor rgb="D9EAD3"/>
        </x:patternFill>
      </x:fill>
    </x:dxf>
    <x:dxf>
      <x:font>
        <x:color rgb="990000"/>
      </x:font>
      <x:fill>
        <x:patternFill>
          <x:bgColor rgb="F4CCCC"/>
        </x:patternFill>
      </x:fill>
    </x:dxf>
    <x:dxf>
      <x:font>
        <x:color rgb="7F6000"/>
      </x:font>
      <x:fill>
        <x:patternFill>
          <x:bgColor rgb="FFF2CC"/>
        </x:patternFill>
      </x:fill>
    </x:dxf>
    <x:dxf>
      <x:font>
        <x:b/>
        <x:color rgb="990000"/>
      </x:font>
      <x:fill>
        <x:patternFill>
          <x:bgColor rgb="F4CCCC"/>
        </x:patternFill>
      </x:fill>
    </x:dxf>
    <x:dxf>
      <x:font>
        <x:color rgb="783F04"/>
      </x:font>
      <x:fill>
        <x:patternFill>
          <x:bgColor rgb="FCE5CD"/>
        </x:patternFill>
      </x:fill>
    </x:dxf>
    <x:dxf>
      <x:font>
        <x:color rgb="783F04"/>
      </x:font>
      <x:fill>
        <x:patternFill>
          <x:bgColor rgb="FCE5CD"/>
        </x:patternFill>
      </x:fill>
    </x:dxf>
    <x:dxf>
      <x:font>
        <x:color rgb="990000"/>
      </x:font>
      <x:fill>
        <x:patternFill>
          <x:bgColor rgb="F4CCCC"/>
        </x:patternFill>
      </x:fill>
    </x:dxf>
    <x:dxf>
      <x:font>
        <x:color rgb="7F6000"/>
      </x:font>
      <x:fill>
        <x:patternFill>
          <x:bgColor rgb="FFF2CC"/>
        </x:patternFill>
      </x:fill>
    </x:dxf>
    <x:dxf>
      <x:font>
        <x:b/>
        <x:color rgb="990000"/>
      </x:font>
      <x:fill>
        <x:patternFill>
          <x:bgColor rgb="F4CCCC"/>
        </x:patternFill>
      </x:fill>
    </x:dxf>
    <x:dxf>
      <x:font>
        <x:color rgb="783F04"/>
      </x:font>
      <x:fill>
        <x:patternFill>
          <x:bgColor rgb="FCE5CD"/>
        </x:patternFill>
      </x:fill>
    </x:dxf>
    <x:dxf>
      <x:font>
        <x:color rgb="783F04"/>
      </x:font>
      <x:fill>
        <x:patternFill>
          <x:bgColor rgb="FCE5CD"/>
        </x:patternFill>
      </x:fill>
    </x:dxf>
    <x:dxf>
      <x:font>
        <x:color rgb="274E13"/>
      </x:font>
      <x:fill>
        <x:patternFill patternType="solid">
          <x:bgColor rgb="D9EAD3"/>
        </x:patternFill>
      </x:fill>
    </x:dxf>
    <x:dxf>
      <x:font>
        <x:color rgb="7F6000"/>
      </x:font>
      <x:fill>
        <x:patternFill patternType="solid">
          <x:bgColor rgb="FFF2CC"/>
        </x:patternFill>
      </x:fill>
    </x:dxf>
    <x:dxf>
      <x:font>
        <x:b/>
        <x:color rgb="990000"/>
      </x:font>
      <x:fill>
        <x:patternFill patternType="solid">
          <x:bgColor rgb="F4CCCC"/>
        </x:patternFill>
      </x:fill>
    </x:dxf>
    <x:dxf>
      <x:font>
        <x:color rgb="274E13"/>
      </x:font>
      <x:fill>
        <x:patternFill patternType="solid">
          <x:bgColor rgb="D9EAD3"/>
        </x:patternFill>
      </x:fill>
    </x:dxf>
    <x:dxf>
      <x:font>
        <x:color rgb="7F6000"/>
      </x:font>
      <x:fill>
        <x:patternFill patternType="solid">
          <x:bgColor rgb="FFF2CC"/>
        </x:patternFill>
      </x:fill>
    </x:dxf>
    <x:dxf>
      <x:font>
        <x:b/>
        <x:color rgb="990000"/>
      </x:font>
      <x:fill>
        <x:patternFill patternType="solid">
          <x:bgColor rgb="F4CCCC"/>
        </x:patternFill>
      </x:fill>
    </x:dxf>
    <x:dxf>
      <x:font>
        <x:b/>
        <x:color rgb="274E13"/>
      </x:font>
      <x:fill>
        <x:patternFill patternType="solid">
          <x:bgColor rgb="D9EAD3"/>
        </x:patternFill>
      </x:fill>
    </x:dxf>
    <x:dxf>
      <x:font>
        <x:b/>
        <x:color rgb="274E13"/>
      </x:font>
      <x:fill>
        <x:patternFill patternType="solid">
          <x:bgColor rgb="E2F0D9"/>
        </x:patternFill>
      </x:fill>
    </x:dxf>
    <x:dxf>
      <x:font>
        <x:b/>
        <x:color rgb="7F6000"/>
      </x:font>
      <x:fill>
        <x:patternFill patternType="solid">
          <x:bgColor rgb="FFF2CC"/>
        </x:patternFill>
      </x:fill>
    </x:dxf>
    <x:dxf>
      <x:font>
        <x:b/>
        <x:color rgb="783F04"/>
      </x:font>
      <x:fill>
        <x:patternFill patternType="solid">
          <x:bgColor rgb="FCE5CD"/>
        </x:patternFill>
      </x:fill>
    </x:dxf>
    <x:dxf>
      <x:font>
        <x:b/>
        <x:color rgb="990000"/>
      </x:font>
      <x:fill>
        <x:patternFill patternType="solid">
          <x:bgColor rgb="F4CCCC"/>
        </x:patternFill>
      </x:fill>
    </x:dxf>
    <x:dxf>
      <x:font>
        <x:color rgb="274E13"/>
      </x:font>
      <x:fill>
        <x:patternFill patternType="solid">
          <x:bgColor rgb="D9EAD3"/>
        </x:patternFill>
      </x:fill>
    </x:dxf>
    <x:dxf>
      <x:font>
        <x:color rgb="7F6000"/>
      </x:font>
      <x:fill>
        <x:patternFill patternType="solid">
          <x:bgColor rgb="FFF2CC"/>
        </x:patternFill>
      </x:fill>
    </x:dxf>
    <x:dxf>
      <x:font>
        <x:b/>
        <x:color rgb="990000"/>
      </x:font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9c5d80e81f414c" /><Relationship Type="http://schemas.openxmlformats.org/officeDocument/2006/relationships/theme" Target="/xl/theme/theme1.xml" Id="Re1c82314bc4b4f28" /><Relationship Type="http://schemas.openxmlformats.org/officeDocument/2006/relationships/sharedStrings" Target="/xl/sharedStrings.xml" Id="R645d3fb9bc6c46da" /><Relationship Type="http://schemas.openxmlformats.org/officeDocument/2006/relationships/worksheet" Target="/xl/worksheets/sheet1.xml" Id="Rb7c53955b99b4b0f" /><Relationship Type="http://schemas.openxmlformats.org/officeDocument/2006/relationships/worksheet" Target="/xl/worksheets/sheet2.xml" Id="R7f235b5d71094a98" /><Relationship Type="http://schemas.openxmlformats.org/officeDocument/2006/relationships/worksheet" Target="/xl/worksheets/sheet3.xml" Id="R4ff75c375dcd4cc2" /><Relationship Type="http://schemas.openxmlformats.org/officeDocument/2006/relationships/worksheet" Target="/xl/worksheets/sheet4.xml" Id="Rd9c6b8110a894059" /><Relationship Type="http://schemas.openxmlformats.org/officeDocument/2006/relationships/worksheet" Target="/xl/worksheets/sheet5.xml" Id="R19da0075c0284804" /><Relationship Type="http://schemas.openxmlformats.org/officeDocument/2006/relationships/worksheet" Target="/xl/worksheets/sheet6.xml" Id="R97bdaad2870a4dc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3e90a81b6eb4c5d" /><Relationship Type="http://schemas.openxmlformats.org/officeDocument/2006/relationships/chart" Target="/xl/drawings/charts/chart2.xml" Id="Rc44bb34af6224aa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Faza 1: progresja long run / testy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Tydzień</c:v>
          </c:tx>
          <c:cat>
            <c:strRef>
              <c:f>'MAPA OBCIĄŻEŃ'!$A$4:$A$16</c:f>
              <c:strCache>
                <c:ptCount val="0"/>
              </c:strCache>
            </c:strRef>
          </c:cat>
          <c:val>
            <c:numRef>
              <c:f>'MAPA OBCIĄŻEŃ'!$B$4:$B$16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Długi bieg / test km</c:v>
          </c:tx>
          <c:cat>
            <c:strRef>
              <c:f>'MAPA OBCIĄŻEŃ'!$A$4:$A$16</c:f>
              <c:strCache>
                <c:ptCount val="0"/>
              </c:strCache>
            </c:strRef>
          </c:cat>
          <c:val>
            <c:numRef>
              <c:f>'MAPA OBCIĄŻEŃ'!$C$4:$C$16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Faza 2: rower długi + T2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Data tygodnia</c:v>
          </c:tx>
          <c:cat>
            <c:strRef>
              <c:f>'MAPA OBCIĄŻEŃ'!$A$21:$A$71</c:f>
              <c:strCache>
                <c:ptCount val="0"/>
              </c:strCache>
            </c:strRef>
          </c:cat>
          <c:val>
            <c:numRef>
              <c:f>'MAPA OBCIĄŻEŃ'!$B$21:$B$71</c:f>
              <c:numCache>
                <c:formatCode>yyyy-mm-dd</c:formatCode>
                <c:ptCount val="0"/>
              </c:numCache>
            </c:numRef>
          </c:val>
          <c:smooth val="0"/>
        </c:ser>
        <c:ser>
          <c:idx val="1"/>
          <c:order val="1"/>
          <c:tx>
            <c:v>Faza</c:v>
          </c:tx>
          <c:cat>
            <c:strRef>
              <c:f>'MAPA OBCIĄŻEŃ'!$A$21:$A$71</c:f>
              <c:strCache>
                <c:ptCount val="0"/>
              </c:strCache>
            </c:strRef>
          </c:cat>
          <c:val>
            <c:numRef>
              <c:f>'MAPA OBCIĄŻEŃ'!$C$21:$C$71</c:f>
              <c:numCache>
                <c:formatCode/>
                <c:ptCount val="0"/>
              </c:numCache>
            </c:numRef>
          </c:val>
          <c:smooth val="0"/>
        </c:ser>
        <c:ser>
          <c:idx val="2"/>
          <c:order val="2"/>
          <c:tx>
            <c:v>Długi rower min</c:v>
          </c:tx>
          <c:cat>
            <c:strRef>
              <c:f>'MAPA OBCIĄŻEŃ'!$A$21:$A$71</c:f>
              <c:strCache>
                <c:ptCount val="0"/>
              </c:strCache>
            </c:strRef>
          </c:cat>
          <c:val>
            <c:numRef>
              <c:f>'MAPA OBCIĄŻEŃ'!$D$21:$D$71</c:f>
              <c:numCache>
                <c:formatCode/>
                <c:ptCount val="0"/>
              </c:numCache>
            </c:numRef>
          </c:val>
          <c:smooth val="0"/>
        </c:ser>
        <c:ser>
          <c:idx val="3"/>
          <c:order val="3"/>
          <c:tx>
            <c:v>T2 km</c:v>
          </c:tx>
          <c:cat>
            <c:strRef>
              <c:f>'MAPA OBCIĄŻEŃ'!$A$21:$A$71</c:f>
              <c:strCache>
                <c:ptCount val="0"/>
              </c:strCache>
            </c:strRef>
          </c:cat>
          <c:val>
            <c:numRef>
              <c:f>'MAPA OBCIĄŻEŃ'!$E$21:$E$71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e90a81b6eb4c5d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17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4bb34af6224aa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SummaryTable" displayName="SummaryTable" ref="A3:D15" headerRowCount="1">
  <x:tableColumns count="4">
    <x:tableColumn id="1" name="Element"/>
    <x:tableColumn id="2" name="Ustalenie / poprawka"/>
    <x:tableColumn id="3" name="Status"/>
    <x:tableColumn id="4" name="Komentarz"/>
  </x:tableColumns>
  <x:tableStyleInfo name="TableStyleMedium2" showRowStripes="1"/>
</x:table>
</file>

<file path=xl/tables/table2.xml><?xml version="1.0" encoding="utf-8"?>
<x:table xmlns:x="http://schemas.openxmlformats.org/spreadsheetml/2006/main" id="1" name="Phase1OsloTable" displayName="Phase1OsloTable" ref="A4:Q99" headerRowCount="1">
  <x:tableColumns count="17">
    <x:tableColumn id="1" name="Data"/>
    <x:tableColumn id="2" name="Dzień"/>
    <x:tableColumn id="3" name="Faza / tydzień"/>
    <x:tableColumn id="4" name="Priorytet tygodnia"/>
    <x:tableColumn id="5" name="Dyscyplina"/>
    <x:tableColumn id="6" name="Szczegółowy opis treningu"/>
    <x:tableColumn id="7" name="Intensywność"/>
    <x:tableColumn id="8" name="Cel jednostki"/>
    <x:tableColumn id="9" name="Śniadanie"/>
    <x:tableColumn id="10" name="Obiad"/>
    <x:tableColumn id="11" name="Kolacja / po treningu"/>
    <x:tableColumn id="12" name="RPE 1-10"/>
    <x:tableColumn id="13" name="Ból 0-10"/>
    <x:tableColumn id="14" name="Sen (h)"/>
    <x:tableColumn id="15" name="Paliwo / żele"/>
    <x:tableColumn id="16" name="Uwagi / status"/>
    <x:tableColumn id="17" name="Modyfikacja jeśli zmęczenie/ból"/>
  </x:tableColumns>
  <x:tableStyleInfo name="TableStyleMedium2" showRowStripes="1"/>
</x:table>
</file>

<file path=xl/tables/table3.xml><?xml version="1.0" encoding="utf-8"?>
<x:table xmlns:x="http://schemas.openxmlformats.org/spreadsheetml/2006/main" id="2" name="Phase2PoznanTable" displayName="Phase2PoznanTable" ref="A4:Q361" headerRowCount="1">
  <x:tableColumns count="17">
    <x:tableColumn id="1" name="Data"/>
    <x:tableColumn id="2" name="Dzień"/>
    <x:tableColumn id="3" name="Faza / tydzień"/>
    <x:tableColumn id="4" name="Priorytet tygodnia"/>
    <x:tableColumn id="5" name="Dyscyplina"/>
    <x:tableColumn id="6" name="Szczegółowy opis treningu"/>
    <x:tableColumn id="7" name="Intensywność"/>
    <x:tableColumn id="8" name="Cel jednostki"/>
    <x:tableColumn id="9" name="Śniadanie"/>
    <x:tableColumn id="10" name="Obiad"/>
    <x:tableColumn id="11" name="Kolacja / po treningu"/>
    <x:tableColumn id="12" name="RPE 1-10"/>
    <x:tableColumn id="13" name="Ból 0-10"/>
    <x:tableColumn id="14" name="Sen (h)"/>
    <x:tableColumn id="15" name="Paliwo / żele"/>
    <x:tableColumn id="16" name="Uwagi / status"/>
    <x:tableColumn id="17" name="Modyfikacja jeśli zmęczenie/ból"/>
  </x:tableColumns>
  <x:tableStyleInfo name="TableStyleMedium2" showRowStripes="1"/>
</x:table>
</file>

<file path=xl/tables/table4.xml><?xml version="1.0" encoding="utf-8"?>
<x:table xmlns:x="http://schemas.openxmlformats.org/spreadsheetml/2006/main" id="4" name="TestsControlTable" displayName="TestsControlTable" ref="A3:E18" headerRowCount="1">
  <x:tableColumns count="5">
    <x:tableColumn id="1" name="Data"/>
    <x:tableColumn id="2" name="Obszar"/>
    <x:tableColumn id="3" name="Test / kontrola"/>
    <x:tableColumn id="4" name="Jak wykonać"/>
    <x:tableColumn id="5" name="Decyzja po wyniku"/>
  </x:tableColumns>
  <x:tableStyleInfo name="TableStyleMedium2" showRowStripes="1"/>
</x:table>
</file>

<file path=xl/tables/table5.xml><?xml version="1.0" encoding="utf-8"?>
<x:table xmlns:x="http://schemas.openxmlformats.org/spreadsheetml/2006/main" id="5" name="OsloLoadTable" displayName="OsloLoadTable" ref="A3:E16" headerRowCount="1">
  <x:tableColumns count="5">
    <x:tableColumn id="1" name="Data tygodnia"/>
    <x:tableColumn id="2" name="Tydzień"/>
    <x:tableColumn id="3" name="Długi bieg / test km"/>
    <x:tableColumn id="4" name="Typ"/>
    <x:tableColumn id="5" name="Opis"/>
  </x:tableColumns>
  <x:tableStyleInfo name="TableStyleMedium2" showRowStripes="1"/>
</x:table>
</file>

<file path=xl/tables/table6.xml><?xml version="1.0" encoding="utf-8"?>
<x:table xmlns:x="http://schemas.openxmlformats.org/spreadsheetml/2006/main" id="6" name="IronmanLoadTable" displayName="IronmanLoadTable" ref="A20:H71" headerRowCount="1">
  <x:tableColumns count="8">
    <x:tableColumn id="1" name="Tydzień"/>
    <x:tableColumn id="2" name="Data tygodnia"/>
    <x:tableColumn id="3" name="Faza"/>
    <x:tableColumn id="4" name="Długi rower min / test"/>
    <x:tableColumn id="5" name="T2 km"/>
    <x:tableColumn id="6" name="Deload"/>
    <x:tableColumn id="7" name="FTP / test"/>
    <x:tableColumn id="8" name="Open water / uwag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d637bffab24bc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9fe788bb8b84c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2ea560c04bc42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5a87b52bcbc47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b5adfd1bfa924186" /><Relationship Type="http://schemas.openxmlformats.org/officeDocument/2006/relationships/table" Target="/xl/tables/table5.xml" Id="Rbd82982e1a44482f" /><Relationship Type="http://schemas.openxmlformats.org/officeDocument/2006/relationships/table" Target="/xl/tables/table6.xml" Id="Rfd6a3c9fda1b4e4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18" hidden="0" customWidth="1"/>
    <x:col min="4" max="4" width="60" hidden="0" customWidth="1"/>
  </x:cols>
  <x:sheetData>
    <x:row r="1">
      <x:c r="A1" s="115" t="str">
        <x:v>PLAN MISTRZOWSKI OSLO → IRONMAN 70.3 POZNAŃ | V7 — FAZA 2 DOPRACOWANA</x:v>
      </x:c>
      <x:c r="B1" s="115"/>
      <x:c r="C1" s="115"/>
      <x:c r="D1" s="115"/>
      <x:c r="E1" s="115"/>
      <x:c r="F1" s="115"/>
      <x:c r="G1" s="115"/>
      <x:c r="H1" s="115"/>
      <x:c r="I1" s="31"/>
      <x:c r="J1" s="31"/>
      <x:c r="K1" s="31"/>
      <x:c r="L1" s="31"/>
      <x:c r="M1" s="31"/>
      <x:c r="N1" s="31"/>
      <x:c r="O1" s="31"/>
      <x:c r="P1" s="31"/>
      <x:c r="Q1" s="31"/>
    </x:row>
    <x:row r="3">
      <x:c r="A3" s="82" t="str">
        <x:v>Element</x:v>
      </x:c>
      <x:c r="B3" s="82" t="str">
        <x:v>Ustalenie / poprawka</x:v>
      </x:c>
      <x:c r="C3" s="82" t="str">
        <x:v>Status</x:v>
      </x:c>
      <x:c r="D3" s="82" t="str">
        <x:v>Komentarz</x:v>
      </x:c>
      <x:c r="E3" s="82"/>
      <x:c r="F3" s="82"/>
      <x:c r="G3" s="82"/>
      <x:c r="H3" s="82"/>
    </x:row>
    <x:row r="4">
      <x:c r="A4" s="119" t="str">
        <x:v>Oslo Marathon</x:v>
      </x:c>
      <x:c r="B4" s="119" t="str">
        <x:v>Oficjalna data 2026: 12.09.2026</x:v>
      </x:c>
      <x:c r="C4" s="119" t="str">
        <x:v>POPRAWIONE</x:v>
      </x:c>
      <x:c r="D4" s="119" t="str">
        <x:v>Plan Fazy 1 przesunięty pod oficjalną datę startu.</x:v>
      </x:c>
      <x:c r="E4" s="82"/>
      <x:c r="F4" s="82"/>
      <x:c r="G4" s="82"/>
      <x:c r="H4" s="82"/>
    </x:row>
    <x:row r="5">
      <x:c r="A5" s="23" t="str">
        <x:v>Cel Oslo</x:v>
      </x:c>
      <x:c r="B5" s="23" t="str">
        <x:v>3:30 = ok. 4:58/km</x:v>
      </x:c>
      <x:c r="C5" s="23" t="str">
        <x:v>OK</x:v>
      </x:c>
      <x:c r="D5" s="23" t="str">
        <x:v>Strategia: zacząć 5:00-5:03/km, po 30 km decyzja.</x:v>
      </x:c>
    </x:row>
    <x:row r="6">
      <x:c r="A6" s="23" t="str">
        <x:v>Test przed Oslo</x:v>
      </x:c>
      <x:c r="B6" s="23" t="str">
        <x:v>10 km test + półmaraton/symulacja 21,1 km</x:v>
      </x:c>
      <x:c r="C6" s="23" t="str">
        <x:v>DODANE</x:v>
      </x:c>
      <x:c r="D6" s="23" t="str">
        <x:v>Kalibracja formy i tempa bez zgadywania.</x:v>
      </x:c>
    </x:row>
    <x:row r="7">
      <x:c r="A7" s="23" t="str">
        <x:v>Regeneracja po Oslo</x:v>
      </x:c>
      <x:c r="B7" s="23" t="str">
        <x:v>3 tygodnie przejścia</x:v>
      </x:c>
      <x:c r="C7" s="23" t="str">
        <x:v>DODANE</x:v>
      </x:c>
      <x:c r="D7" s="23" t="str">
        <x:v>Bez mocnych podbiegów i bez ostrych zakładek.</x:v>
      </x:c>
    </x:row>
    <x:row r="8">
      <x:c r="A8" s="23" t="str">
        <x:v>Tacx w regeneracji</x:v>
      </x:c>
      <x:c r="B8" s="23" t="str">
        <x:v>45-60 min Z1/Z2, stały limit</x:v>
      </x:c>
      <x:c r="C8" s="23" t="str">
        <x:v>NAPRAWIONE</x:v>
      </x:c>
      <x:c r="D8" s="23" t="str">
        <x:v>Nie skaluje się mechanicznie wraz z objętością.</x:v>
      </x:c>
    </x:row>
    <x:row r="9">
      <x:c r="A9" s="23" t="str">
        <x:v>FTP</x:v>
      </x:c>
      <x:c r="B9" s="23" t="str">
        <x:v>Test co 6-8 tygodni</x:v>
      </x:c>
      <x:c r="C9" s="23" t="str">
        <x:v>DODANE</x:v>
      </x:c>
      <x:c r="D9" s="23" t="str">
        <x:v>Waty aktualizowane po każdym teście.</x:v>
      </x:c>
    </x:row>
    <x:row r="10">
      <x:c r="A10" s="23" t="str">
        <x:v>Rower/T2</x:v>
      </x:c>
      <x:c r="B10" s="23" t="str">
        <x:v>Fale 3+1 + twardy cap soboty 210-220 min</x:v>
      </x:c>
      <x:c r="C10" s="23" t="str">
        <x:v>NAPRAWIONE</x:v>
      </x:c>
      <x:c r="D10" s="23" t="str">
        <x:v>Usunięto 240-270 min roweru; jakość race pace/aero ważniejsza niż objętość.</x:v>
      </x:c>
    </x:row>
    <x:row r="11">
      <x:c r="A11" s="23" t="str">
        <x:v>Open water</x:v>
      </x:c>
      <x:c r="B11" s="23" t="str">
        <x:v>Konkretny dzień od maja/czerwca</x:v>
      </x:c>
      <x:c r="C11" s="23" t="str">
        <x:v>DODANE</x:v>
      </x:c>
      <x:c r="D11" s="23" t="str">
        <x:v>Nawigacja, start, nawroty, pływanie w grupie.</x:v>
      </x:c>
    </x:row>
    <x:row r="12">
      <x:c r="A12" s="23" t="str">
        <x:v>Poznań 70.3</x:v>
      </x:c>
      <x:c r="B12" s="23" t="str">
        <x:v>2027: data robocza 05.09.2027 do potwierdzenia</x:v>
      </x:c>
      <x:c r="C12" s="23" t="str">
        <x:v>ZAŁOŻENIE</x:v>
      </x:c>
      <x:c r="D12" s="23" t="str">
        <x:v>Oficjalnie potwierdzony jest 30.08.2026; 2027 wymaga późniejszej aktualizacji.</x:v>
      </x:c>
    </x:row>
    <x:row r="13">
      <x:c r="A13" s="23" t="str">
        <x:v>Źródło Oslo</x:v>
      </x:c>
      <x:c r="B13" s="23" t="str">
        <x:v>https://oslomaraton.no/en/deltagerinfo/</x:v>
      </x:c>
      <x:c r="C13" s="23" t="str">
        <x:v>ŹRÓDŁO</x:v>
      </x:c>
      <x:c r="D13" s="23" t="str">
        <x:v>Strona organizatora: 12.09.2026, maraton 09:00.</x:v>
      </x:c>
    </x:row>
    <x:row r="14">
      <x:c r="A14" s="23" t="str">
        <x:v>Źródło Poznań</x:v>
      </x:c>
      <x:c r="B14" s="23" t="str">
        <x:v>https://ironmanpoznan.com.pl/en/70-3-en/</x:v>
      </x:c>
      <x:c r="C14" s="23" t="str">
        <x:v>ŹRÓDŁO</x:v>
      </x:c>
      <x:c r="D14" s="23" t="str">
        <x:v>Strona organizatora 2026: 30.08.2026, Lake Kierskie/Kiekrz.</x:v>
      </x:c>
    </x:row>
    <x:row r="15">
      <x:c r="A15" s="23" t="str">
        <x:v>Źródło Poznań harmonogram</x:v>
      </x:c>
      <x:c r="B15" s="23" t="str">
        <x:v>https://ironmanpoznan.com.pl/en/schedule/</x:v>
      </x:c>
      <x:c r="C15" s="23" t="str">
        <x:v>ŹRÓDŁO</x:v>
      </x:c>
      <x:c r="D15" s="23" t="str">
        <x:v>Start IRONMAN 70.3 w 2026 o 9:30, Kierskie Lake.</x:v>
      </x:c>
    </x:row>
    <x:row r="16" ht="36" customHeight="1">
      <x:c r="A16" s="23" t="str">
        <x:v>Start testowy 70.3</x:v>
      </x:c>
      <x:c r="B16" s="23" t="str">
        <x:v>Sprint/olimpijka albo symulacja C-priority w tygodniu 42</x:v>
      </x:c>
      <x:c r="C16" s="23" t="str">
        <x:v>DODANE</x:v>
      </x:c>
      <x:c r="D16" s="23" t="str">
        <x:v>Test T1/T2, open water, żywienia, sprzętu i reakcji na stres.</x:v>
      </x:c>
    </x:row>
    <x:row r="17" ht="36" customHeight="1">
      <x:c r="A17" s="23" t="str">
        <x:v>Bieg Faza 2</x:v>
      </x:c>
      <x:c r="B17" s="23" t="str">
        <x:v>Long runy 20-24 km z blokami race pace w Build 2/specyfice</x:v>
      </x:c>
      <x:c r="C17" s="23" t="str">
        <x:v>POPRAWIONE</x:v>
      </x:c>
      <x:c r="D17" s="23" t="str">
        <x:v>Dodano kluczowe biegi 70.3 bez dokładania nadmiernej objętości po rowerze.</x:v>
      </x:c>
    </x:row>
    <x:row r="18" ht="36" customHeight="1">
      <x:c r="A18" s="23" t="str">
        <x:v>Pływanie/CSS</x:v>
      </x:c>
      <x:c r="B18" s="23" t="str">
        <x:v>Progresja 1200-1800 → 3000 m + 1900 m non-stop</x:v>
      </x:c>
      <x:c r="C18" s="23" t="str">
        <x:v>POPRAWIONE</x:v>
      </x:c>
      <x:c r="D18" s="23" t="str">
        <x:v>CSS 100/200/400/600 m, open water i rehearsal 1900 m przed startem.</x:v>
      </x:c>
    </x:row>
    <x:row r="19">
      <x:c r="A19" s="23"/>
      <x:c r="B19" s="23"/>
      <x:c r="C19" s="23"/>
      <x:c r="D19" s="23"/>
    </x:row>
    <x:row r="20" ht="32" customHeight="1">
      <x:c r="A20" s="208" t="str">
        <x:v>Automatyczny dashboard wpisów</x:v>
      </x:c>
      <x:c r="B20" s="208" t="str">
        <x:v>Arkusz TESTY I KONTROLA, kolumny G:O</x:v>
      </x:c>
      <x:c r="C20" s="208" t="str">
        <x:v>Podsumowuje RPE, ból, sen i paliwo z FAZA 1 / FAZA 2</x:v>
      </x:c>
      <x:c r="D20" s="208"/>
      <x:c r="E20" s="82"/>
      <x:c r="F20" s="82"/>
      <x:c r="G20" s="82"/>
      <x:c r="H20" s="82"/>
    </x:row>
    <x:row r="21">
      <x:c r="A21" s="298" t="str">
        <x:v>COACH CENTER</x:v>
      </x:c>
      <x:c r="B21" s="298" t="str">
        <x:v>Nowa zakładka z readiness score, Plan B, fueling, butami i predykcją</x:v>
      </x:c>
      <x:c r="C21" s="298" t="str">
        <x:v>DODANE</x:v>
      </x:c>
      <x:c r="D21" s="298" t="str">
        <x:v>Najbardziej praktyczne rzeczy w jednym miejscu.</x:v>
      </x:c>
    </x:row>
    <x:row r="22">
      <x:c r="A22" s="226" t="str">
        <x:v>Nowe kolumny w fazach</x:v>
      </x:c>
      <x:c r="B22" s="226" t="str">
        <x:v>Czas min, Dystans km, Buty, Plan %, Mental, Coach flag, Plan B</x:v>
      </x:c>
      <x:c r="C22" s="226" t="str">
        <x:v>DODANE</x:v>
      </x:c>
      <x:c r="D22" s="226" t="str">
        <x:v>Uzupełniaj po treningu — dashboard liczy z tych danych.</x:v>
      </x:c>
    </x:row>
    <x:row r="23">
      <x:c r="A23" s="226" t="str">
        <x:v>Readiness Score</x:v>
      </x:c>
      <x:c r="B23" s="226" t="str">
        <x:v>0-100 na podstawie RPE, bólu, snu, mentalu i trendów</x:v>
      </x:c>
      <x:c r="C23" s="226" t="str">
        <x:v>DODANE</x:v>
      </x:c>
      <x:c r="D23" s="226" t="str">
        <x:v>Automatyczna decyzja: cisnąć / skrócić / odpuścić.</x:v>
      </x:c>
    </x:row>
    <x:row r="24">
      <x:c r="A24" s="226" t="str">
        <x:v>Fueling calculator</x:v>
      </x:c>
      <x:c r="B24" s="226" t="str">
        <x:v>Węgle, żele, płyn, sód i harmonogram żeli</x:v>
      </x:c>
      <x:c r="C24" s="226" t="str">
        <x:v>DODANE</x:v>
      </x:c>
      <x:c r="D24" s="226" t="str">
        <x:v>Do long runów, roweru, zakładek i startów.</x:v>
      </x:c>
    </x:row>
    <x:row r="25">
      <x:c r="A25" s="226" t="str">
        <x:v>Shoe mileage tracker</x:v>
      </x:c>
      <x:c r="B25" s="226" t="str">
        <x:v>Liczy km z wpisów dystans + buty</x:v>
      </x:c>
      <x:c r="C25" s="226" t="str">
        <x:v>DODANE</x:v>
      </x:c>
      <x:c r="D25" s="226" t="str">
        <x:v>Pokazuje OK / OBSERWUJ / WYMIANA.</x:v>
      </x:c>
    </x:row>
    <x:row r="26">
      <x:c r="A26" s="226" t="str">
        <x:v>Race predictor</x:v>
      </x:c>
      <x:c r="B26" s="226" t="str">
        <x:v>Predykcja Oslo i 70.3 na podstawie testów</x:v>
      </x:c>
      <x:c r="C26" s="226" t="str">
        <x:v>DODANE</x:v>
      </x:c>
      <x:c r="D26" s="226" t="str">
        <x:v>Szacunek motywacyjny, nie obietnica wyniku.</x:v>
      </x:c>
    </x:row>
    <x:row r="27">
      <x:c r="A27"/>
      <x:c r="B27"/>
      <x:c r="C27"/>
      <x:c r="D27"/>
    </x:row>
    <x:row r="28">
      <x:c r="A28"/>
      <x:c r="B28"/>
      <x:c r="C28"/>
      <x:c r="D28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2dd637bffab24bc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8" hidden="0" customWidth="1"/>
    <x:col min="4" max="4" width="30" hidden="0" customWidth="1"/>
    <x:col min="5" max="5" width="24" hidden="0" customWidth="1"/>
    <x:col min="6" max="6" width="55" hidden="0" customWidth="1"/>
    <x:col min="7" max="7" width="15" hidden="0" customWidth="1"/>
    <x:col min="8" max="8" width="26" hidden="0" customWidth="1"/>
    <x:col min="9" max="9" width="34" hidden="0" customWidth="1"/>
    <x:col min="10" max="10" width="34" hidden="0" customWidth="1"/>
    <x:col min="11" max="11" width="34" hidden="0" customWidth="1"/>
    <x:col min="12" max="12" width="10" hidden="0" customWidth="1"/>
    <x:col min="13" max="13" width="10" hidden="0" customWidth="1"/>
    <x:col min="14" max="14" width="10" hidden="0" customWidth="1"/>
    <x:col min="15" max="15" width="22" hidden="0" customWidth="1"/>
    <x:col min="16" max="16" width="22" hidden="0" customWidth="1"/>
    <x:col min="17" max="17" width="38" hidden="0" customWidth="1"/>
    <x:col min="19" max="19" width="11" hidden="0" customWidth="1"/>
    <x:col min="20" max="20" width="28" hidden="0" customWidth="1"/>
    <x:col min="21" max="21" width="65" hidden="0" customWidth="1"/>
    <x:col min="18" max="18" width="17" hidden="0" customWidth="1"/>
    <x:col min="22" max="22" width="10" hidden="0" customWidth="1"/>
    <x:col min="23" max="23" width="11" hidden="0" customWidth="1"/>
    <x:col min="24" max="24" width="18" hidden="0" customWidth="1"/>
    <x:col min="25" max="25" width="13" hidden="0" customWidth="1"/>
    <x:col min="26" max="26" width="11" hidden="0" customWidth="1"/>
    <x:col min="27" max="27" width="12" hidden="0" customWidth="1"/>
    <x:col min="28" max="28" width="34" hidden="0" customWidth="1"/>
  </x:cols>
  <x:sheetData>
    <x:row r="1" ht="24" customHeight="1">
      <x:c r="A1" s="41" t="str">
        <x:v>FAZA 1 - OSLO MARATHON 2026: wersja 10/10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</x:row>
    <x:row r="2">
      <x:c r="A2" s="44" t="str">
        <x:v>Pod oficjalną datę 12.09.2026. Dodano test 10 km, test półmaratoński, pełną progresję long runu, taper i reguły ochrony stopy.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</x:row>
    <x:row r="3">
      <x:c r="R3" s="131" t="str">
        <x:v>MIESIĄCE</x:v>
      </x:c>
      <x:c r="S3" s="80" t="str">
        <x:v>LEGENDA KOLORÓW</x:v>
      </x:c>
    </x:row>
    <x:row r="4" ht="22" customHeight="1">
      <x:c r="A4" s="48" t="str">
        <x:v>Data</x:v>
      </x:c>
      <x:c r="B4" s="48" t="str">
        <x:v>Dzień</x:v>
      </x:c>
      <x:c r="C4" s="48" t="str">
        <x:v>Faza / tydzień</x:v>
      </x:c>
      <x:c r="D4" s="48" t="str">
        <x:v>Priorytet tygodnia</x:v>
      </x:c>
      <x:c r="E4" s="48" t="str">
        <x:v>Dyscyplina</x:v>
      </x:c>
      <x:c r="F4" s="48" t="str">
        <x:v>Szczegółowy opis treningu</x:v>
      </x:c>
      <x:c r="G4" s="48" t="str">
        <x:v>Intensywność</x:v>
      </x:c>
      <x:c r="H4" s="48" t="str">
        <x:v>Cel jednostki</x:v>
      </x:c>
      <x:c r="I4" s="48" t="str">
        <x:v>Śniadanie</x:v>
      </x:c>
      <x:c r="J4" s="48" t="str">
        <x:v>Obiad</x:v>
      </x:c>
      <x:c r="K4" s="48" t="str">
        <x:v>Kolacja / po treningu</x:v>
      </x:c>
      <x:c r="L4" s="209" t="str">
        <x:v>RPE 1-10</x:v>
      </x:c>
      <x:c r="M4" s="209" t="str">
        <x:v>Ból 0-10</x:v>
      </x:c>
      <x:c r="N4" s="209" t="str">
        <x:v>Sen (h)</x:v>
      </x:c>
      <x:c r="O4" s="209" t="str">
        <x:v>Paliwo / żele</x:v>
      </x:c>
      <x:c r="P4" s="209" t="str">
        <x:v>Uwagi / status</x:v>
      </x:c>
      <x:c r="Q4" s="48" t="str">
        <x:v>Modyfikacja jeśli zmęczenie/ból</x:v>
      </x:c>
      <x:c r="R4" s="132" t="str">
        <x:v>Miesiąc</x:v>
      </x:c>
      <x:c r="S4" s="102" t="str">
        <x:v>Kolor</x:v>
      </x:c>
      <x:c r="T4" s="102" t="str">
        <x:v>Typ</x:v>
      </x:c>
      <x:c r="U4" s="102" t="str">
        <x:v>Charakterystyka</x:v>
      </x:c>
      <x:c r="V4" s="225" t="str">
        <x:v>Czas min</x:v>
      </x:c>
      <x:c r="W4" s="225" t="str">
        <x:v>Dystans km</x:v>
      </x:c>
      <x:c r="X4" s="225" t="str">
        <x:v>Buty / sprzęt</x:v>
      </x:c>
      <x:c r="Y4" s="225" t="str">
        <x:v>Plan wykonany %</x:v>
      </x:c>
      <x:c r="Z4" s="225" t="str">
        <x:v>Mental 1-10</x:v>
      </x:c>
      <x:c r="AA4" s="225" t="str">
        <x:v>Coach flag</x:v>
      </x:c>
      <x:c r="AB4" s="225" t="str">
        <x:v>Plan B / decyzja</x:v>
      </x:c>
    </x:row>
    <x:row r="5" ht="26" customHeight="1">
      <x:c r="A5" s="148" t="n">
        <x:v>46184</x:v>
      </x:c>
      <x:c r="B5" s="149" t="str">
        <x:v>Czwartek</x:v>
      </x:c>
      <x:c r="C5" s="149" t="str">
        <x:v>Tydzień 0 - wejście</x:v>
      </x:c>
      <x:c r="D5" s="150" t="str">
        <x:v>Regeneracja stopy</x:v>
      </x:c>
      <x:c r="E5" s="150" t="str">
        <x:v>Basen regeneracyjny</x:v>
      </x:c>
      <x:c r="F5" s="150" t="str">
        <x:v>800-1000 m luźny kraul. Zero mocnych odbić od ściany. Priorytet: tkanki i czucie wody.</x:v>
      </x:c>
      <x:c r="G5" s="150" t="str">
        <x:v>REGENERACJA</x:v>
      </x:c>
      <x:c r="H5" s="150" t="str">
        <x:v>Krążenie + regeneracja</x:v>
      </x:c>
      <x:c r="I5" s="150" t="str">
        <x:v>Normalne śniadanie, bez wymuszonego ładowania.</x:v>
      </x:c>
      <x:c r="J5" s="150" t="str">
        <x:v>Warzywa + białko + spokojna porcja węgli.</x:v>
      </x:c>
      <x:c r="K5" s="150" t="str">
        <x:v>Lekko, prosto, sen ważniejszy niż idealne makro.</x:v>
      </x:c>
      <x:c r="L5" s="150"/>
      <x:c r="M5" s="150"/>
      <x:c r="N5" s="150"/>
      <x:c r="O5" s="150"/>
      <x:c r="P5" s="150"/>
      <x:c r="Q5" s="150" t="str">
        <x:v>Nie nadrabiaj zaległości. Regeneracja jest częścią planu.</x:v>
      </x:c>
      <x:c r="R5" s="136" t="str">
        <x:v>CZERWIEC 2026</x:v>
      </x:c>
      <x:c r="S5" s="103" t="str">
        <x:v>■</x:v>
      </x:c>
      <x:c r="T5" s="54" t="str">
        <x:v>INTERWAŁY / TEMPO / START</x:v>
      </x:c>
      <x:c r="U5" s="54" t="str">
        <x:v>Treningi szybkościowe, akcenty podprogowe, mocne tempo startowe.</x:v>
      </x:c>
      <x:c r="V5" s="227"/>
      <x:c r="W5" s="228"/>
      <x:c r="X5" s="226"/>
      <x:c r="Y5" s="229"/>
      <x:c r="Z5" s="227"/>
      <x:c r="AA5" s="226" t="str">
        <x:f>IF(AND(L5="",M5="",N5="",Z5=""),"",IF(OR(M5&gt;=5,N5&lt;6,L5&gt;=8),"CZERWONY",IF(OR(M5&gt;=3,N5&lt;6.5,L5&gt;=7,Z5&lt;=4),"ŻÓŁTY","OK")))</x:f>
      </x:c>
      <x:c r="AB5" s="226" t="str">
        <x:f>IF(AA5="","",IF(AA5="OK","Realizuj plan normalnie.",IF(AA5="ŻÓŁTY","Skróć 10-30% albo zamień akcent na easy.", "STOP mocne bodźce: wolne/basen/Tacx Z1 48-72 h.")))</x:f>
      </x:c>
    </x:row>
    <x:row r="6">
      <x:c r="A6" s="71" t="n">
        <x:v>46185</x:v>
      </x:c>
      <x:c r="B6" s="72" t="str">
        <x:v>Piątek</x:v>
      </x:c>
      <x:c r="C6" s="72" t="str">
        <x:v>Tydzień 0 - wejście</x:v>
      </x:c>
      <x:c r="D6" s="72" t="str">
        <x:v>Regeneracja stopy</x:v>
      </x:c>
      <x:c r="E6" s="72" t="str">
        <x:v>WOLNE</x:v>
      </x:c>
      <x:c r="F6" s="72" t="str">
        <x:v>Mrożenie/rolowanie łydki, mobilizacja stopy. Bez treningu strukturalnego.</x:v>
      </x:c>
      <x:c r="G6" s="72" t="str">
        <x:v>WOLNE</x:v>
      </x:c>
      <x:c r="H6" s="72" t="str">
        <x:v>Pełny odpoczynek</x:v>
      </x:c>
      <x:c r="I6" s="72" t="str">
        <x:v>Normalne śniadanie, bez wymuszonego ładowania.</x:v>
      </x:c>
      <x:c r="J6" s="72" t="str">
        <x:v>Warzywa + białko + spokojna porcja węgli.</x:v>
      </x:c>
      <x:c r="K6" s="72" t="str">
        <x:v>Lekko, prosto, sen ważniejszy niż idealne makro.</x:v>
      </x:c>
      <x:c r="L6" s="72"/>
      <x:c r="M6" s="72"/>
      <x:c r="N6" s="72"/>
      <x:c r="O6" s="72"/>
      <x:c r="P6" s="72"/>
      <x:c r="Q6" s="72" t="str">
        <x:v>Nie nadrabiaj zaległości. Regeneracja jest częścią planu.</x:v>
      </x:c>
      <x:c r="S6" s="104" t="str">
        <x:v>■</x:v>
      </x:c>
      <x:c r="T6" s="78" t="str">
        <x:v>BASEN / PŁYWANIE</x:v>
      </x:c>
      <x:c r="U6" s="78" t="str">
        <x:v>Treningi w wodzie, technika, wytrzymałość i adaptacja do startu.</x:v>
      </x:c>
      <x:c r="V6" s="227"/>
      <x:c r="W6" s="228"/>
      <x:c r="X6" s="226"/>
      <x:c r="Y6" s="229"/>
      <x:c r="Z6" s="227"/>
      <x:c r="AA6" s="226" t="str">
        <x:f>IF(AND(L6="",M6="",N6="",Z6=""),"",IF(OR(M6&gt;=5,N6&lt;6,L6&gt;=8),"CZERWONY",IF(OR(M6&gt;=3,N6&lt;6.5,L6&gt;=7,Z6&lt;=4),"ŻÓŁTY","OK")))</x:f>
      </x:c>
      <x:c r="AB6" s="226" t="str">
        <x:f>IF(AA6="","",IF(AA6="OK","Realizuj plan normalnie.",IF(AA6="ŻÓŁTY","Skróć 10-30% albo zamień akcent na easy.", "STOP mocne bodźce: wolne/basen/Tacx Z1 48-72 h.")))</x:f>
      </x:c>
    </x:row>
    <x:row r="7">
      <x:c r="A7" s="113" t="n">
        <x:v>46186</x:v>
      </x:c>
      <x:c r="B7" s="107" t="str">
        <x:v>Sobota</x:v>
      </x:c>
      <x:c r="C7" s="107" t="str">
        <x:v>Tydzień 0 - wejście</x:v>
      </x:c>
      <x:c r="D7" s="107" t="str">
        <x:v>Regeneracja stopy</x:v>
      </x:c>
      <x:c r="E7" s="107" t="str">
        <x:v>Tacx Z1</x:v>
      </x:c>
      <x:c r="F7" s="107" t="str">
        <x:v>45 min bardzo lekko 135-150 W, kadencja 90-95+. Tylko krążenie.</x:v>
      </x:c>
      <x:c r="G7" s="107" t="str">
        <x:v>REGENERACJA</x:v>
      </x:c>
      <x:c r="H7" s="107" t="str">
        <x:v>Tlen bez obciążenia stopy</x:v>
      </x:c>
      <x:c r="I7" s="107" t="str">
        <x:v>Normalne śniadanie, bez wymuszonego ładowania.</x:v>
      </x:c>
      <x:c r="J7" s="107" t="str">
        <x:v>Warzywa + białko + spokojna porcja węgli.</x:v>
      </x:c>
      <x:c r="K7" s="107" t="str">
        <x:v>Lekko, prosto, sen ważniejszy niż idealne makro.</x:v>
      </x:c>
      <x:c r="L7" s="107"/>
      <x:c r="M7" s="107"/>
      <x:c r="N7" s="107"/>
      <x:c r="O7" s="107"/>
      <x:c r="P7" s="107"/>
      <x:c r="Q7" s="107" t="str">
        <x:v>Nie nadrabiaj zaległości. Regeneracja jest częścią planu.</x:v>
      </x:c>
      <x:c r="S7" s="105" t="str">
        <x:v>■</x:v>
      </x:c>
      <x:c r="T7" s="66" t="str">
        <x:v>LONG RUN / TLEN</x:v>
      </x:c>
      <x:c r="U7" s="66" t="str">
        <x:v>Długie biegi tlenowe i spokojne wybiegania rozwijające bazę.</x:v>
      </x:c>
      <x:c r="V7" s="227"/>
      <x:c r="W7" s="228"/>
      <x:c r="X7" s="226"/>
      <x:c r="Y7" s="229"/>
      <x:c r="Z7" s="227"/>
      <x:c r="AA7" s="226" t="str">
        <x:f>IF(AND(L7="",M7="",N7="",Z7=""),"",IF(OR(M7&gt;=5,N7&lt;6,L7&gt;=8),"CZERWONY",IF(OR(M7&gt;=3,N7&lt;6.5,L7&gt;=7,Z7&lt;=4),"ŻÓŁTY","OK")))</x:f>
      </x:c>
      <x:c r="AB7" s="226" t="str">
        <x:f>IF(AA7="","",IF(AA7="OK","Realizuj plan normalnie.",IF(AA7="ŻÓŁTY","Skróć 10-30% albo zamień akcent na easy.", "STOP mocne bodźce: wolne/basen/Tacx Z1 48-72 h.")))</x:f>
      </x:c>
    </x:row>
    <x:row r="8">
      <x:c r="A8" s="71" t="n">
        <x:v>46187</x:v>
      </x:c>
      <x:c r="B8" s="72" t="str">
        <x:v>Niedziela</x:v>
      </x:c>
      <x:c r="C8" s="72" t="str">
        <x:v>Tydzień 0 - wejście</x:v>
      </x:c>
      <x:c r="D8" s="72" t="str">
        <x:v>Regeneracja stopy</x:v>
      </x:c>
      <x:c r="E8" s="72" t="str">
        <x:v>WOLNE / spacer</x:v>
      </x:c>
      <x:c r="F8" s="72" t="str">
        <x:v>Spacer z psem 20-40 min, kontrola bólu 0-10.</x:v>
      </x:c>
      <x:c r="G8" s="72" t="str">
        <x:v>WOLNE</x:v>
      </x:c>
      <x:c r="H8" s="72" t="str">
        <x:v>Ocena stopy</x:v>
      </x:c>
      <x:c r="I8" s="72" t="str">
        <x:v>Normalne śniadanie, bez wymuszonego ładowania.</x:v>
      </x:c>
      <x:c r="J8" s="72" t="str">
        <x:v>Warzywa + białko + spokojna porcja węgli.</x:v>
      </x:c>
      <x:c r="K8" s="72" t="str">
        <x:v>Lekko, prosto, sen ważniejszy niż idealne makro.</x:v>
      </x:c>
      <x:c r="L8" s="72"/>
      <x:c r="M8" s="72"/>
      <x:c r="N8" s="72"/>
      <x:c r="O8" s="72"/>
      <x:c r="P8" s="72"/>
      <x:c r="Q8" s="72" t="str">
        <x:v>Nie nadrabiaj zaległości. Regeneracja jest częścią planu.</x:v>
      </x:c>
      <x:c r="S8" s="106" t="str">
        <x:v>■</x:v>
      </x:c>
      <x:c r="T8" s="107" t="str">
        <x:v>ROWER / TACX</x:v>
      </x:c>
      <x:c r="U8" s="107" t="str">
        <x:v>Praca na trenażerze/rowerze, budowanie mocy FTP i Sweet Spot.</x:v>
      </x:c>
      <x:c r="V8" s="227"/>
      <x:c r="W8" s="228"/>
      <x:c r="X8" s="226"/>
      <x:c r="Y8" s="229"/>
      <x:c r="Z8" s="227"/>
      <x:c r="AA8" s="226" t="str">
        <x:f>IF(AND(L8="",M8="",N8="",Z8=""),"",IF(OR(M8&gt;=5,N8&lt;6,L8&gt;=8),"CZERWONY",IF(OR(M8&gt;=3,N8&lt;6.5,L8&gt;=7,Z8&lt;=4),"ŻÓŁTY","OK")))</x:f>
      </x:c>
      <x:c r="AB8" s="226" t="str">
        <x:f>IF(AA8="","",IF(AA8="OK","Realizuj plan normalnie.",IF(AA8="ŻÓŁTY","Skróć 10-30% albo zamień akcent na easy.", "STOP mocne bodźce: wolne/basen/Tacx Z1 48-72 h.")))</x:f>
      </x:c>
    </x:row>
    <x:row r="9">
      <x:c r="A9" s="71" t="n">
        <x:v>46188</x:v>
      </x:c>
      <x:c r="B9" s="72" t="str">
        <x:v>Poniedziałek</x:v>
      </x:c>
      <x:c r="C9" s="72" t="str">
        <x:v>Tydzień 13 do Oslo</x:v>
      </x:c>
      <x:c r="D9" s="72" t="str">
        <x:v>Wejście po regeneracji stopy</x:v>
      </x:c>
      <x:c r="E9" s="72" t="str">
        <x:v>WOLNE</x:v>
      </x:c>
      <x:c r="F9" s="72" t="str">
        <x:v>Dzień wolny. Mobilizacja bioder/łydek 10-15 min, sen, nawodnienie.</x:v>
      </x:c>
      <x:c r="G9" s="72" t="str">
        <x:v>WOLNE</x:v>
      </x:c>
      <x:c r="H9" s="72" t="str">
        <x:v>Regeneracja</x:v>
      </x:c>
      <x:c r="I9" s="72" t="str">
        <x:v>Normalne śniadanie, bez wymuszonego ładowania.</x:v>
      </x:c>
      <x:c r="J9" s="72" t="str">
        <x:v>Warzywa + białko + spokojna porcja węgli.</x:v>
      </x:c>
      <x:c r="K9" s="72" t="str">
        <x:v>Lekko, prosto, sen ważniejszy niż idealne makro.</x:v>
      </x:c>
      <x:c r="L9" s="72"/>
      <x:c r="M9" s="72"/>
      <x:c r="N9" s="72"/>
      <x:c r="O9" s="72"/>
      <x:c r="P9" s="72"/>
      <x:c r="Q9" s="72" t="str">
        <x:v>Nie nadrabiaj zaległości. Regeneracja jest częścią planu.</x:v>
      </x:c>
      <x:c r="S9" s="108" t="str">
        <x:v>■</x:v>
      </x:c>
      <x:c r="T9" s="60" t="str">
        <x:v>KROS / PODBIEGI / SIŁA</x:v>
      </x:c>
      <x:c r="U9" s="60" t="str">
        <x:v>Siła biegowa, podbiegi dynamiczne, stabilizacja głęboka.</x:v>
      </x:c>
      <x:c r="V9" s="227"/>
      <x:c r="W9" s="228"/>
      <x:c r="X9" s="226"/>
      <x:c r="Y9" s="229"/>
      <x:c r="Z9" s="227"/>
      <x:c r="AA9" s="226" t="str">
        <x:f>IF(AND(L9="",M9="",N9="",Z9=""),"",IF(OR(M9&gt;=5,N9&lt;6,L9&gt;=8),"CZERWONY",IF(OR(M9&gt;=3,N9&lt;6.5,L9&gt;=7,Z9&lt;=4),"ŻÓŁTY","OK")))</x:f>
      </x:c>
      <x:c r="AB9" s="226" t="str">
        <x:f>IF(AA9="","",IF(AA9="OK","Realizuj plan normalnie.",IF(AA9="ŻÓŁTY","Skróć 10-30% albo zamień akcent na easy.", "STOP mocne bodźce: wolne/basen/Tacx Z1 48-72 h.")))</x:f>
      </x:c>
    </x:row>
    <x:row r="10">
      <x:c r="A10" s="65" t="n">
        <x:v>46189</x:v>
      </x:c>
      <x:c r="B10" s="66" t="str">
        <x:v>Wtorek</x:v>
      </x:c>
      <x:c r="C10" s="66" t="str">
        <x:v>Tydzień 13 do Oslo</x:v>
      </x:c>
      <x:c r="D10" s="66" t="str">
        <x:v>Wejście po regeneracji stopy</x:v>
      </x:c>
      <x:c r="E10" s="66" t="str">
        <x:v>Bieg easy + rytmy</x:v>
      </x:c>
      <x:c r="F10" s="66" t="str">
        <x:v>7 km easy 5:40-6:00/km + 6x20 s rytmy. Pierwszy tydzień: bez agresywnych interwałów.</x:v>
      </x:c>
      <x:c r="G10" s="66" t="str">
        <x:v>ŁATWY</x:v>
      </x:c>
      <x:c r="H10" s="66" t="str">
        <x:v>Rytm bez zmęczenia</x:v>
      </x:c>
      <x:c r="I10" s="66" t="str">
        <x:v>Jajka lub jogurt/skyr + owoce; kawa spokojnie.</x:v>
      </x:c>
      <x:c r="J10" s="66" t="str">
        <x:v>Zupa/kasza/ryż + warzywa + białko; nawodnienie.</x:v>
      </x:c>
      <x:c r="K10" s="66" t="str">
        <x:v>Lekka kolacja: ryż/ziemniaki + ryba/tofu/jaja + warzywa.</x:v>
      </x:c>
      <x:c r="L10" s="66"/>
      <x:c r="M10" s="66"/>
      <x:c r="N10" s="66"/>
      <x:c r="O10" s="66"/>
      <x:c r="P10" s="66"/>
      <x:c r="Q10" s="66" t="str">
        <x:v>Jeśli nogi ciężkie: skróć o 20-30% i trzymaj Z1/Z2.</x:v>
      </x:c>
      <x:c r="S10" s="109" t="str">
        <x:v>■</x:v>
      </x:c>
      <x:c r="T10" s="72" t="str">
        <x:v>REGENERACJA / WOLNE</x:v>
      </x:c>
      <x:c r="U10" s="72" t="str">
        <x:v>Dni całkowicie wolne, spacery lub bardzo lekka regeneracja.</x:v>
      </x:c>
      <x:c r="V10" s="227"/>
      <x:c r="W10" s="228"/>
      <x:c r="X10" s="226"/>
      <x:c r="Y10" s="229"/>
      <x:c r="Z10" s="227"/>
      <x:c r="AA10" s="226" t="str">
        <x:f>IF(AND(L10="",M10="",N10="",Z10=""),"",IF(OR(M10&gt;=5,N10&lt;6,L10&gt;=8),"CZERWONY",IF(OR(M10&gt;=3,N10&lt;6.5,L10&gt;=7,Z10&lt;=4),"ŻÓŁTY","OK")))</x:f>
      </x:c>
      <x:c r="AB10" s="226" t="str">
        <x:f>IF(AA10="","",IF(AA10="OK","Realizuj plan normalnie.",IF(AA10="ŻÓŁTY","Skróć 10-30% albo zamień akcent na easy.", "STOP mocne bodźce: wolne/basen/Tacx Z1 48-72 h.")))</x:f>
      </x:c>
    </x:row>
    <x:row r="11">
      <x:c r="A11" s="113" t="n">
        <x:v>46190</x:v>
      </x:c>
      <x:c r="B11" s="107" t="str">
        <x:v>Środa</x:v>
      </x:c>
      <x:c r="C11" s="107" t="str">
        <x:v>Tydzień 13 do Oslo</x:v>
      </x:c>
      <x:c r="D11" s="107" t="str">
        <x:v>Wejście po regeneracji stopy</x:v>
      </x:c>
      <x:c r="E11" s="107" t="str">
        <x:v>Tacx Z1/Z2</x:v>
      </x:c>
      <x:c r="F11" s="107" t="str">
        <x:v>55-70 min Z2 155-185 W, kadencja 90-95. Bez sweet spotu w Fazie 1.</x:v>
      </x:c>
      <x:c r="G11" s="107" t="str">
        <x:v>ŁATWY</x:v>
      </x:c>
      <x:c r="H11" s="107" t="str">
        <x:v>Tlen bez dobijania nóg</x:v>
      </x:c>
      <x:c r="I11" s="107" t="str">
        <x:v>Jajka lub jogurt/skyr + owoce; kawa spokojnie.</x:v>
      </x:c>
      <x:c r="J11" s="107" t="str">
        <x:v>Zupa/kasza/ryż + warzywa + białko; nawodnienie.</x:v>
      </x:c>
      <x:c r="K11" s="107" t="str">
        <x:v>Lekka kolacja: ryż/ziemniaki + ryba/tofu/jaja + warzywa.</x:v>
      </x:c>
      <x:c r="L11" s="107"/>
      <x:c r="M11" s="107"/>
      <x:c r="N11" s="107"/>
      <x:c r="O11" s="107"/>
      <x:c r="P11" s="107"/>
      <x:c r="Q11" s="107" t="str">
        <x:v>Jeśli nogi ciężkie: skróć o 20-30% i trzymaj Z1/Z2.</x:v>
      </x:c>
      <x:c r="V11" s="227"/>
      <x:c r="W11" s="228"/>
      <x:c r="X11" s="226"/>
      <x:c r="Y11" s="229"/>
      <x:c r="Z11" s="227"/>
      <x:c r="AA11" s="226" t="str">
        <x:f>IF(AND(L11="",M11="",N11="",Z11=""),"",IF(OR(M11&gt;=5,N11&lt;6,L11&gt;=8),"CZERWONY",IF(OR(M11&gt;=3,N11&lt;6.5,L11&gt;=7,Z11&lt;=4),"ŻÓŁTY","OK")))</x:f>
      </x:c>
      <x:c r="AB11" s="226" t="str">
        <x:f>IF(AA11="","",IF(AA11="OK","Realizuj plan normalnie.",IF(AA11="ŻÓŁTY","Skróć 10-30% albo zamień akcent na easy.", "STOP mocne bodźce: wolne/basen/Tacx Z1 48-72 h.")))</x:f>
      </x:c>
    </x:row>
    <x:row r="12">
      <x:c r="A12" s="77" t="n">
        <x:v>46191</x:v>
      </x:c>
      <x:c r="B12" s="78" t="str">
        <x:v>Czwartek</x:v>
      </x:c>
      <x:c r="C12" s="78" t="str">
        <x:v>Tydzień 13 do Oslo</x:v>
      </x:c>
      <x:c r="D12" s="78" t="str">
        <x:v>Wejście po regeneracji stopy</x:v>
      </x:c>
      <x:c r="E12" s="78" t="str">
        <x:v>Bieg easy + BASEN</x:v>
      </x:c>
      <x:c r="F12" s="78" t="str">
        <x:v>RANO: 6-9 km easy 5:40-6:05/km + 10-15 min mobility. WIECZÓR: 800-1200 m luźno.</x:v>
      </x:c>
      <x:c r="G12" s="78" t="str">
        <x:v>ŁATWY</x:v>
      </x:c>
      <x:c r="H12" s="78" t="str">
        <x:v>Objętość nisko-kosztowa</x:v>
      </x:c>
      <x:c r="I12" s="78" t="str">
        <x:v>Jajka lub jogurt/skyr + owoce; kawa spokojnie.</x:v>
      </x:c>
      <x:c r="J12" s="78" t="str">
        <x:v>Zupa/kasza/ryż + warzywa + białko; nawodnienie.</x:v>
      </x:c>
      <x:c r="K12" s="78" t="str">
        <x:v>Lekka kolacja: ryż/ziemniaki + ryba/tofu/jaja + warzywa.</x:v>
      </x:c>
      <x:c r="L12" s="78"/>
      <x:c r="M12" s="78"/>
      <x:c r="N12" s="78"/>
      <x:c r="O12" s="78"/>
      <x:c r="P12" s="78"/>
      <x:c r="Q12" s="78" t="str">
        <x:v>Jeśli nogi ciężkie: skróć o 20-30% i trzymaj Z1/Z2.</x:v>
      </x:c>
      <x:c r="V12" s="227"/>
      <x:c r="W12" s="228"/>
      <x:c r="X12" s="226"/>
      <x:c r="Y12" s="229"/>
      <x:c r="Z12" s="227"/>
      <x:c r="AA12" s="226" t="str">
        <x:f>IF(AND(L12="",M12="",N12="",Z12=""),"",IF(OR(M12&gt;=5,N12&lt;6,L12&gt;=8),"CZERWONY",IF(OR(M12&gt;=3,N12&lt;6.5,L12&gt;=7,Z12&lt;=4),"ŻÓŁTY","OK")))</x:f>
      </x:c>
      <x:c r="AB12" s="226" t="str">
        <x:f>IF(AA12="","",IF(AA12="OK","Realizuj plan normalnie.",IF(AA12="ŻÓŁTY","Skróć 10-30% albo zamień akcent na easy.", "STOP mocne bodźce: wolne/basen/Tacx Z1 48-72 h.")))</x:f>
      </x:c>
    </x:row>
    <x:row r="13">
      <x:c r="A13" s="77" t="n">
        <x:v>46192</x:v>
      </x:c>
      <x:c r="B13" s="78" t="str">
        <x:v>Piątek</x:v>
      </x:c>
      <x:c r="C13" s="78" t="str">
        <x:v>Tydzień 13 do Oslo</x:v>
      </x:c>
      <x:c r="D13" s="78" t="str">
        <x:v>Wejście po regeneracji stopy</x:v>
      </x:c>
      <x:c r="E13" s="78" t="str">
        <x:v>BASEN / WOLNE</x:v>
      </x:c>
      <x:c r="F13" s="78" t="str">
        <x:v>1000-1400 m technika lub WOLNE, jeśli stopa/łydka sygnalizuje zmęczenie.</x:v>
      </x:c>
      <x:c r="G13" s="78" t="str">
        <x:v>REGENERACJA</x:v>
      </x:c>
      <x:c r="H13" s="78" t="str">
        <x:v>Technika i regeneracja</x:v>
      </x:c>
      <x:c r="I13" s="78" t="str">
        <x:v>Normalne śniadanie, bez wymuszonego ładowania.</x:v>
      </x:c>
      <x:c r="J13" s="78" t="str">
        <x:v>Warzywa + białko + spokojna porcja węgli.</x:v>
      </x:c>
      <x:c r="K13" s="78" t="str">
        <x:v>Lekko, prosto, sen ważniejszy niż idealne makro.</x:v>
      </x:c>
      <x:c r="L13" s="78"/>
      <x:c r="M13" s="78"/>
      <x:c r="N13" s="78"/>
      <x:c r="O13" s="78"/>
      <x:c r="P13" s="78"/>
      <x:c r="Q13" s="78" t="str">
        <x:v>Nie nadrabiaj zaległości. Regeneracja jest częścią planu.</x:v>
      </x:c>
      <x:c r="V13" s="227"/>
      <x:c r="W13" s="228"/>
      <x:c r="X13" s="226"/>
      <x:c r="Y13" s="229"/>
      <x:c r="Z13" s="227"/>
      <x:c r="AA13" s="226" t="str">
        <x:f>IF(AND(L13="",M13="",N13="",Z13=""),"",IF(OR(M13&gt;=5,N13&lt;6,L13&gt;=8),"CZERWONY",IF(OR(M13&gt;=3,N13&lt;6.5,L13&gt;=7,Z13&lt;=4),"ŻÓŁTY","OK")))</x:f>
      </x:c>
      <x:c r="AB13" s="226" t="str">
        <x:f>IF(AA13="","",IF(AA13="OK","Realizuj plan normalnie.",IF(AA13="ŻÓŁTY","Skróć 10-30% albo zamień akcent na easy.", "STOP mocne bodźce: wolne/basen/Tacx Z1 48-72 h.")))</x:f>
      </x:c>
    </x:row>
    <x:row r="14">
      <x:c r="A14" s="65" t="n">
        <x:v>46193</x:v>
      </x:c>
      <x:c r="B14" s="66" t="str">
        <x:v>Sobota</x:v>
      </x:c>
      <x:c r="C14" s="66" t="str">
        <x:v>Tydzień 13 do Oslo</x:v>
      </x:c>
      <x:c r="D14" s="66" t="str">
        <x:v>Wejście po regeneracji stopy</x:v>
      </x:c>
      <x:c r="E14" s="66" t="str">
        <x:v>Bieg long easy</x:v>
      </x:c>
      <x:c r="F14" s="66" t="str">
        <x:v>18 km spokojnie 5:35-5:55/km. Test 1 żel/napój po 40 min. Bez MP.</x:v>
      </x:c>
      <x:c r="G14" s="66" t="str">
        <x:v>LONG</x:v>
      </x:c>
      <x:c r="H14" s="66" t="str">
        <x:v>Czas na nogach, bez walki</x:v>
      </x:c>
      <x:c r="I14" s="66" t="str">
        <x:v>3 h przed: sprawdzony posiłek węglowodanowy; bez nowych produktów.</x:v>
      </x:c>
      <x:c r="J14" s="66" t="str">
        <x:v>Po treningu: ryż/ziemniaki + białko + sól/elektrolity.</x:v>
      </x:c>
      <x:c r="K14" s="66" t="str">
        <x:v>Kolacja regeneracyjna: węgle + białko + warzywa; uzupełnij płyny.</x:v>
      </x:c>
      <x:c r="L14" s="66"/>
      <x:c r="M14" s="66"/>
      <x:c r="N14" s="66"/>
      <x:c r="O14" s="66"/>
      <x:c r="P14" s="66"/>
      <x:c r="Q14" s="66" t="str">
        <x:v>Jeśli ból narasta lub RPE &gt;7 przed połową: skróć, nie nadrabiaj kilometrów.</x:v>
      </x:c>
      <x:c r="V14" s="227"/>
      <x:c r="W14" s="228"/>
      <x:c r="X14" s="226"/>
      <x:c r="Y14" s="229"/>
      <x:c r="Z14" s="227"/>
      <x:c r="AA14" s="226" t="str">
        <x:f>IF(AND(L14="",M14="",N14="",Z14=""),"",IF(OR(M14&gt;=5,N14&lt;6,L14&gt;=8),"CZERWONY",IF(OR(M14&gt;=3,N14&lt;6.5,L14&gt;=7,Z14&lt;=4),"ŻÓŁTY","OK")))</x:f>
      </x:c>
      <x:c r="AB14" s="226" t="str">
        <x:f>IF(AA14="","",IF(AA14="OK","Realizuj plan normalnie.",IF(AA14="ŻÓŁTY","Skróć 10-30% albo zamień akcent na easy.", "STOP mocne bodźce: wolne/basen/Tacx Z1 48-72 h.")))</x:f>
      </x:c>
    </x:row>
    <x:row r="15">
      <x:c r="A15" s="71" t="n">
        <x:v>46194</x:v>
      </x:c>
      <x:c r="B15" s="72" t="str">
        <x:v>Niedziela</x:v>
      </x:c>
      <x:c r="C15" s="72" t="str">
        <x:v>Tydzień 13 do Oslo</x:v>
      </x:c>
      <x:c r="D15" s="72" t="str">
        <x:v>Wejście po regeneracji stopy</x:v>
      </x:c>
      <x:c r="E15" s="72" t="str">
        <x:v>WOLNE / spacer</x:v>
      </x:c>
      <x:c r="F15" s="72" t="str">
        <x:v>Pełny odpoczynek lub spacer 20-40 min. Kontrola bólu 0-10.</x:v>
      </x:c>
      <x:c r="G15" s="72" t="str">
        <x:v>WOLNE</x:v>
      </x:c>
      <x:c r="H15" s="72" t="str">
        <x:v>Adaptacja</x:v>
      </x:c>
      <x:c r="I15" s="72" t="str">
        <x:v>Normalne śniadanie, bez wymuszonego ładowania.</x:v>
      </x:c>
      <x:c r="J15" s="72" t="str">
        <x:v>Warzywa + białko + spokojna porcja węgli.</x:v>
      </x:c>
      <x:c r="K15" s="72" t="str">
        <x:v>Lekko, prosto, sen ważniejszy niż idealne makro.</x:v>
      </x:c>
      <x:c r="L15" s="72"/>
      <x:c r="M15" s="72"/>
      <x:c r="N15" s="72"/>
      <x:c r="O15" s="72"/>
      <x:c r="P15" s="72"/>
      <x:c r="Q15" s="72" t="str">
        <x:v>Nie nadrabiaj zaległości. Regeneracja jest częścią planu.</x:v>
      </x:c>
      <x:c r="V15" s="227"/>
      <x:c r="W15" s="228"/>
      <x:c r="X15" s="226"/>
      <x:c r="Y15" s="229"/>
      <x:c r="Z15" s="227"/>
      <x:c r="AA15" s="226" t="str">
        <x:f>IF(AND(L15="",M15="",N15="",Z15=""),"",IF(OR(M15&gt;=5,N15&lt;6,L15&gt;=8),"CZERWONY",IF(OR(M15&gt;=3,N15&lt;6.5,L15&gt;=7,Z15&lt;=4),"ŻÓŁTY","OK")))</x:f>
      </x:c>
      <x:c r="AB15" s="226" t="str">
        <x:f>IF(AA15="","",IF(AA15="OK","Realizuj plan normalnie.",IF(AA15="ŻÓŁTY","Skróć 10-30% albo zamień akcent na easy.", "STOP mocne bodźce: wolne/basen/Tacx Z1 48-72 h.")))</x:f>
      </x:c>
    </x:row>
    <x:row r="16">
      <x:c r="A16" s="71" t="n">
        <x:v>46195</x:v>
      </x:c>
      <x:c r="B16" s="72" t="str">
        <x:v>Poniedziałek</x:v>
      </x:c>
      <x:c r="C16" s="72" t="str">
        <x:v>Tydzień 12 do Oslo</x:v>
      </x:c>
      <x:c r="D16" s="72" t="str">
        <x:v>Pierwszy kontrolowany akcent</x:v>
      </x:c>
      <x:c r="E16" s="72" t="str">
        <x:v>WOLNE</x:v>
      </x:c>
      <x:c r="F16" s="72" t="str">
        <x:v>Dzień wolny. Mobilizacja bioder/łydek 10-15 min, sen, nawodnienie.</x:v>
      </x:c>
      <x:c r="G16" s="72" t="str">
        <x:v>WOLNE</x:v>
      </x:c>
      <x:c r="H16" s="72" t="str">
        <x:v>Regeneracja</x:v>
      </x:c>
      <x:c r="I16" s="72" t="str">
        <x:v>Normalne śniadanie, bez wymuszonego ładowania.</x:v>
      </x:c>
      <x:c r="J16" s="72" t="str">
        <x:v>Warzywa + białko + spokojna porcja węgli.</x:v>
      </x:c>
      <x:c r="K16" s="72" t="str">
        <x:v>Lekko, prosto, sen ważniejszy niż idealne makro.</x:v>
      </x:c>
      <x:c r="L16" s="72"/>
      <x:c r="M16" s="72"/>
      <x:c r="N16" s="72"/>
      <x:c r="O16" s="72"/>
      <x:c r="P16" s="72"/>
      <x:c r="Q16" s="72" t="str">
        <x:v>Nie nadrabiaj zaległości. Regeneracja jest częścią planu.</x:v>
      </x:c>
      <x:c r="V16" s="227"/>
      <x:c r="W16" s="228"/>
      <x:c r="X16" s="226"/>
      <x:c r="Y16" s="229"/>
      <x:c r="Z16" s="227"/>
      <x:c r="AA16" s="226" t="str">
        <x:f>IF(AND(L16="",M16="",N16="",Z16=""),"",IF(OR(M16&gt;=5,N16&lt;6,L16&gt;=8),"CZERWONY",IF(OR(M16&gt;=3,N16&lt;6.5,L16&gt;=7,Z16&lt;=4),"ŻÓŁTY","OK")))</x:f>
      </x:c>
      <x:c r="AB16" s="226" t="str">
        <x:f>IF(AA16="","",IF(AA16="OK","Realizuj plan normalnie.",IF(AA16="ŻÓŁTY","Skróć 10-30% albo zamień akcent na easy.", "STOP mocne bodźce: wolne/basen/Tacx Z1 48-72 h.")))</x:f>
      </x:c>
    </x:row>
    <x:row r="17">
      <x:c r="A17" s="53" t="n">
        <x:v>46196</x:v>
      </x:c>
      <x:c r="B17" s="54" t="str">
        <x:v>Wtorek</x:v>
      </x:c>
      <x:c r="C17" s="54" t="str">
        <x:v>Tydzień 12 do Oslo</x:v>
      </x:c>
      <x:c r="D17" s="54" t="str">
        <x:v>Pierwszy kontrolowany akcent</x:v>
      </x:c>
      <x:c r="E17" s="54" t="str">
        <x:v>Bieg interwały kontrolowane</x:v>
      </x:c>
      <x:c r="F17" s="54" t="str">
        <x:v>2 km rozgrzewki + 5x1 km 4:20-4:25/km / 3 min trucht + 1-2 km schłodzenia.</x:v>
      </x:c>
      <x:c r="G17" s="54" t="str">
        <x:v>MOCNY</x:v>
      </x:c>
      <x:c r="H17" s="54" t="str">
        <x:v>Szybkość pod kontrolą</x:v>
      </x:c>
      <x:c r="I17" s="54" t="str">
        <x:v>2-3 h przed: kleik/ryż/wafle + miód/dżem; mało tłuszczu i błonnika.</x:v>
      </x:c>
      <x:c r="J17" s="54" t="str">
        <x:v>Ryż/ziemniaki/kasza + lekkie białko + warzywa.</x:v>
      </x:c>
      <x:c r="K17" s="54" t="str">
        <x:v>Po: 20-35 g białka + węgle; elektrolity.</x:v>
      </x:c>
      <x:c r="L17" s="54"/>
      <x:c r="M17" s="54"/>
      <x:c r="N17" s="54"/>
      <x:c r="O17" s="54"/>
      <x:c r="P17" s="54"/>
      <x:c r="Q17" s="54" t="str">
        <x:v>Jeśli ból ≥3/10 lub sen &lt;6 h: zamień na easy 30-45 min albo basen.</x:v>
      </x:c>
      <x:c r="V17" s="227"/>
      <x:c r="W17" s="228"/>
      <x:c r="X17" s="226"/>
      <x:c r="Y17" s="229"/>
      <x:c r="Z17" s="227"/>
      <x:c r="AA17" s="226" t="str">
        <x:f>IF(AND(L17="",M17="",N17="",Z17=""),"",IF(OR(M17&gt;=5,N17&lt;6,L17&gt;=8),"CZERWONY",IF(OR(M17&gt;=3,N17&lt;6.5,L17&gt;=7,Z17&lt;=4),"ŻÓŁTY","OK")))</x:f>
      </x:c>
      <x:c r="AB17" s="226" t="str">
        <x:f>IF(AA17="","",IF(AA17="OK","Realizuj plan normalnie.",IF(AA17="ŻÓŁTY","Skróć 10-30% albo zamień akcent na easy.", "STOP mocne bodźce: wolne/basen/Tacx Z1 48-72 h.")))</x:f>
      </x:c>
    </x:row>
    <x:row r="18">
      <x:c r="A18" s="113" t="n">
        <x:v>46197</x:v>
      </x:c>
      <x:c r="B18" s="107" t="str">
        <x:v>Środa</x:v>
      </x:c>
      <x:c r="C18" s="107" t="str">
        <x:v>Tydzień 12 do Oslo</x:v>
      </x:c>
      <x:c r="D18" s="107" t="str">
        <x:v>Pierwszy kontrolowany akcent</x:v>
      </x:c>
      <x:c r="E18" s="107" t="str">
        <x:v>Tacx Z1/Z2</x:v>
      </x:c>
      <x:c r="F18" s="107" t="str">
        <x:v>55-70 min Z2 155-185 W, kadencja 90-95. Bez sweet spotu w Fazie 1.</x:v>
      </x:c>
      <x:c r="G18" s="107" t="str">
        <x:v>ŁATWY</x:v>
      </x:c>
      <x:c r="H18" s="107" t="str">
        <x:v>Tlen bez dobijania nóg</x:v>
      </x:c>
      <x:c r="I18" s="107" t="str">
        <x:v>Jajka lub jogurt/skyr + owoce; kawa spokojnie.</x:v>
      </x:c>
      <x:c r="J18" s="107" t="str">
        <x:v>Zupa/kasza/ryż + warzywa + białko; nawodnienie.</x:v>
      </x:c>
      <x:c r="K18" s="107" t="str">
        <x:v>Lekka kolacja: ryż/ziemniaki + ryba/tofu/jaja + warzywa.</x:v>
      </x:c>
      <x:c r="L18" s="107"/>
      <x:c r="M18" s="107"/>
      <x:c r="N18" s="107"/>
      <x:c r="O18" s="107"/>
      <x:c r="P18" s="107"/>
      <x:c r="Q18" s="107" t="str">
        <x:v>Jeśli nogi ciężkie: skróć o 20-30% i trzymaj Z1/Z2.</x:v>
      </x:c>
      <x:c r="V18" s="227"/>
      <x:c r="W18" s="228"/>
      <x:c r="X18" s="226"/>
      <x:c r="Y18" s="229"/>
      <x:c r="Z18" s="227"/>
      <x:c r="AA18" s="226" t="str">
        <x:f>IF(AND(L18="",M18="",N18="",Z18=""),"",IF(OR(M18&gt;=5,N18&lt;6,L18&gt;=8),"CZERWONY",IF(OR(M18&gt;=3,N18&lt;6.5,L18&gt;=7,Z18&lt;=4),"ŻÓŁTY","OK")))</x:f>
      </x:c>
      <x:c r="AB18" s="226" t="str">
        <x:f>IF(AA18="","",IF(AA18="OK","Realizuj plan normalnie.",IF(AA18="ŻÓŁTY","Skróć 10-30% albo zamień akcent na easy.", "STOP mocne bodźce: wolne/basen/Tacx Z1 48-72 h.")))</x:f>
      </x:c>
    </x:row>
    <x:row r="19">
      <x:c r="A19" s="77" t="n">
        <x:v>46198</x:v>
      </x:c>
      <x:c r="B19" s="78" t="str">
        <x:v>Czwartek</x:v>
      </x:c>
      <x:c r="C19" s="78" t="str">
        <x:v>Tydzień 12 do Oslo</x:v>
      </x:c>
      <x:c r="D19" s="78" t="str">
        <x:v>Pierwszy kontrolowany akcent</x:v>
      </x:c>
      <x:c r="E19" s="78" t="str">
        <x:v>Bieg easy + BASEN</x:v>
      </x:c>
      <x:c r="F19" s="78" t="str">
        <x:v>RANO: 6-9 km easy 5:40-6:05/km + 10-15 min mobility. WIECZÓR: 800-1200 m luźno.</x:v>
      </x:c>
      <x:c r="G19" s="78" t="str">
        <x:v>ŁATWY</x:v>
      </x:c>
      <x:c r="H19" s="78" t="str">
        <x:v>Objętość nisko-kosztowa</x:v>
      </x:c>
      <x:c r="I19" s="78" t="str">
        <x:v>Jajka lub jogurt/skyr + owoce; kawa spokojnie.</x:v>
      </x:c>
      <x:c r="J19" s="78" t="str">
        <x:v>Zupa/kasza/ryż + warzywa + białko; nawodnienie.</x:v>
      </x:c>
      <x:c r="K19" s="78" t="str">
        <x:v>Lekka kolacja: ryż/ziemniaki + ryba/tofu/jaja + warzywa.</x:v>
      </x:c>
      <x:c r="L19" s="78"/>
      <x:c r="M19" s="78"/>
      <x:c r="N19" s="78"/>
      <x:c r="O19" s="78"/>
      <x:c r="P19" s="78"/>
      <x:c r="Q19" s="78" t="str">
        <x:v>Jeśli nogi ciężkie: skróć o 20-30% i trzymaj Z1/Z2.</x:v>
      </x:c>
      <x:c r="V19" s="227"/>
      <x:c r="W19" s="228"/>
      <x:c r="X19" s="226"/>
      <x:c r="Y19" s="229"/>
      <x:c r="Z19" s="227"/>
      <x:c r="AA19" s="226" t="str">
        <x:f>IF(AND(L19="",M19="",N19="",Z19=""),"",IF(OR(M19&gt;=5,N19&lt;6,L19&gt;=8),"CZERWONY",IF(OR(M19&gt;=3,N19&lt;6.5,L19&gt;=7,Z19&lt;=4),"ŻÓŁTY","OK")))</x:f>
      </x:c>
      <x:c r="AB19" s="226" t="str">
        <x:f>IF(AA19="","",IF(AA19="OK","Realizuj plan normalnie.",IF(AA19="ŻÓŁTY","Skróć 10-30% albo zamień akcent na easy.", "STOP mocne bodźce: wolne/basen/Tacx Z1 48-72 h.")))</x:f>
      </x:c>
    </x:row>
    <x:row r="20">
      <x:c r="A20" s="77" t="n">
        <x:v>46199</x:v>
      </x:c>
      <x:c r="B20" s="78" t="str">
        <x:v>Piątek</x:v>
      </x:c>
      <x:c r="C20" s="78" t="str">
        <x:v>Tydzień 12 do Oslo</x:v>
      </x:c>
      <x:c r="D20" s="78" t="str">
        <x:v>Pierwszy kontrolowany akcent</x:v>
      </x:c>
      <x:c r="E20" s="78" t="str">
        <x:v>BASEN / WOLNE</x:v>
      </x:c>
      <x:c r="F20" s="78" t="str">
        <x:v>1000-1400 m technika lub WOLNE, jeśli stopa/łydka sygnalizuje zmęczenie.</x:v>
      </x:c>
      <x:c r="G20" s="78" t="str">
        <x:v>REGENERACJA</x:v>
      </x:c>
      <x:c r="H20" s="78" t="str">
        <x:v>Technika i regeneracja</x:v>
      </x:c>
      <x:c r="I20" s="78" t="str">
        <x:v>Normalne śniadanie, bez wymuszonego ładowania.</x:v>
      </x:c>
      <x:c r="J20" s="78" t="str">
        <x:v>Warzywa + białko + spokojna porcja węgli.</x:v>
      </x:c>
      <x:c r="K20" s="78" t="str">
        <x:v>Lekko, prosto, sen ważniejszy niż idealne makro.</x:v>
      </x:c>
      <x:c r="L20" s="78"/>
      <x:c r="M20" s="78"/>
      <x:c r="N20" s="78"/>
      <x:c r="O20" s="78"/>
      <x:c r="P20" s="78"/>
      <x:c r="Q20" s="78" t="str">
        <x:v>Nie nadrabiaj zaległości. Regeneracja jest częścią planu.</x:v>
      </x:c>
      <x:c r="V20" s="227"/>
      <x:c r="W20" s="228"/>
      <x:c r="X20" s="226"/>
      <x:c r="Y20" s="229"/>
      <x:c r="Z20" s="227"/>
      <x:c r="AA20" s="226" t="str">
        <x:f>IF(AND(L20="",M20="",N20="",Z20=""),"",IF(OR(M20&gt;=5,N20&lt;6,L20&gt;=8),"CZERWONY",IF(OR(M20&gt;=3,N20&lt;6.5,L20&gt;=7,Z20&lt;=4),"ŻÓŁTY","OK")))</x:f>
      </x:c>
      <x:c r="AB20" s="226" t="str">
        <x:f>IF(AA20="","",IF(AA20="OK","Realizuj plan normalnie.",IF(AA20="ŻÓŁTY","Skróć 10-30% albo zamień akcent na easy.", "STOP mocne bodźce: wolne/basen/Tacx Z1 48-72 h.")))</x:f>
      </x:c>
    </x:row>
    <x:row r="21">
      <x:c r="A21" s="65" t="n">
        <x:v>46200</x:v>
      </x:c>
      <x:c r="B21" s="66" t="str">
        <x:v>Sobota</x:v>
      </x:c>
      <x:c r="C21" s="66" t="str">
        <x:v>Tydzień 12 do Oslo</x:v>
      </x:c>
      <x:c r="D21" s="66" t="str">
        <x:v>Pierwszy kontrolowany akcent</x:v>
      </x:c>
      <x:c r="E21" s="66" t="str">
        <x:v>Bieg long easy</x:v>
      </x:c>
      <x:c r="F21" s="66" t="str">
        <x:v>22 km easy 5:35-5:55/km, ostatnie 3 km steady tylko jeśli lekko.</x:v>
      </x:c>
      <x:c r="G21" s="66" t="str">
        <x:v>LONG</x:v>
      </x:c>
      <x:c r="H21" s="66" t="str">
        <x:v>Objętość + ekonomia</x:v>
      </x:c>
      <x:c r="I21" s="66" t="str">
        <x:v>3 h przed: sprawdzony posiłek węglowodanowy; bez nowych produktów.</x:v>
      </x:c>
      <x:c r="J21" s="66" t="str">
        <x:v>Po treningu: ryż/ziemniaki + białko + sól/elektrolity.</x:v>
      </x:c>
      <x:c r="K21" s="66" t="str">
        <x:v>Kolacja regeneracyjna: węgle + białko + warzywa; uzupełnij płyny.</x:v>
      </x:c>
      <x:c r="L21" s="66"/>
      <x:c r="M21" s="66"/>
      <x:c r="N21" s="66"/>
      <x:c r="O21" s="66"/>
      <x:c r="P21" s="66"/>
      <x:c r="Q21" s="66" t="str">
        <x:v>Jeśli ból narasta lub RPE &gt;7 przed połową: skróć, nie nadrabiaj kilometrów.</x:v>
      </x:c>
      <x:c r="V21" s="227"/>
      <x:c r="W21" s="228"/>
      <x:c r="X21" s="226"/>
      <x:c r="Y21" s="229"/>
      <x:c r="Z21" s="227"/>
      <x:c r="AA21" s="226" t="str">
        <x:f>IF(AND(L21="",M21="",N21="",Z21=""),"",IF(OR(M21&gt;=5,N21&lt;6,L21&gt;=8),"CZERWONY",IF(OR(M21&gt;=3,N21&lt;6.5,L21&gt;=7,Z21&lt;=4),"ŻÓŁTY","OK")))</x:f>
      </x:c>
      <x:c r="AB21" s="226" t="str">
        <x:f>IF(AA21="","",IF(AA21="OK","Realizuj plan normalnie.",IF(AA21="ŻÓŁTY","Skróć 10-30% albo zamień akcent na easy.", "STOP mocne bodźce: wolne/basen/Tacx Z1 48-72 h.")))</x:f>
      </x:c>
    </x:row>
    <x:row r="22">
      <x:c r="A22" s="71" t="n">
        <x:v>46201</x:v>
      </x:c>
      <x:c r="B22" s="72" t="str">
        <x:v>Niedziela</x:v>
      </x:c>
      <x:c r="C22" s="72" t="str">
        <x:v>Tydzień 12 do Oslo</x:v>
      </x:c>
      <x:c r="D22" s="72" t="str">
        <x:v>Pierwszy kontrolowany akcent</x:v>
      </x:c>
      <x:c r="E22" s="72" t="str">
        <x:v>WOLNE / spacer</x:v>
      </x:c>
      <x:c r="F22" s="72" t="str">
        <x:v>Pełny odpoczynek lub spacer 20-40 min. Kontrola bólu 0-10.</x:v>
      </x:c>
      <x:c r="G22" s="72" t="str">
        <x:v>WOLNE</x:v>
      </x:c>
      <x:c r="H22" s="72" t="str">
        <x:v>Adaptacja</x:v>
      </x:c>
      <x:c r="I22" s="72" t="str">
        <x:v>Normalne śniadanie, bez wymuszonego ładowania.</x:v>
      </x:c>
      <x:c r="J22" s="72" t="str">
        <x:v>Warzywa + białko + spokojna porcja węgli.</x:v>
      </x:c>
      <x:c r="K22" s="72" t="str">
        <x:v>Lekko, prosto, sen ważniejszy niż idealne makro.</x:v>
      </x:c>
      <x:c r="L22" s="72"/>
      <x:c r="M22" s="72"/>
      <x:c r="N22" s="72"/>
      <x:c r="O22" s="72"/>
      <x:c r="P22" s="72"/>
      <x:c r="Q22" s="72" t="str">
        <x:v>Nie nadrabiaj zaległości. Regeneracja jest częścią planu.</x:v>
      </x:c>
      <x:c r="V22" s="227"/>
      <x:c r="W22" s="228"/>
      <x:c r="X22" s="226"/>
      <x:c r="Y22" s="229"/>
      <x:c r="Z22" s="227"/>
      <x:c r="AA22" s="226" t="str">
        <x:f>IF(AND(L22="",M22="",N22="",Z22=""),"",IF(OR(M22&gt;=5,N22&lt;6,L22&gt;=8),"CZERWONY",IF(OR(M22&gt;=3,N22&lt;6.5,L22&gt;=7,Z22&lt;=4),"ŻÓŁTY","OK")))</x:f>
      </x:c>
      <x:c r="AB22" s="226" t="str">
        <x:f>IF(AA22="","",IF(AA22="OK","Realizuj plan normalnie.",IF(AA22="ŻÓŁTY","Skróć 10-30% albo zamień akcent na easy.", "STOP mocne bodźce: wolne/basen/Tacx Z1 48-72 h.")))</x:f>
      </x:c>
    </x:row>
    <x:row r="23">
      <x:c r="A23" s="71" t="n">
        <x:v>46202</x:v>
      </x:c>
      <x:c r="B23" s="72" t="str">
        <x:v>Poniedziałek</x:v>
      </x:c>
      <x:c r="C23" s="72" t="str">
        <x:v>Tydzień 11 do Oslo</x:v>
      </x:c>
      <x:c r="D23" s="72" t="str">
        <x:v>Próg/steady + dłuższy long</x:v>
      </x:c>
      <x:c r="E23" s="72" t="str">
        <x:v>WOLNE</x:v>
      </x:c>
      <x:c r="F23" s="72" t="str">
        <x:v>Dzień wolny. Mobilizacja bioder/łydek 10-15 min, sen, nawodnienie.</x:v>
      </x:c>
      <x:c r="G23" s="72" t="str">
        <x:v>WOLNE</x:v>
      </x:c>
      <x:c r="H23" s="72" t="str">
        <x:v>Regeneracja</x:v>
      </x:c>
      <x:c r="I23" s="72" t="str">
        <x:v>Normalne śniadanie, bez wymuszonego ładowania.</x:v>
      </x:c>
      <x:c r="J23" s="72" t="str">
        <x:v>Warzywa + białko + spokojna porcja węgli.</x:v>
      </x:c>
      <x:c r="K23" s="72" t="str">
        <x:v>Lekko, prosto, sen ważniejszy niż idealne makro.</x:v>
      </x:c>
      <x:c r="L23" s="72"/>
      <x:c r="M23" s="72"/>
      <x:c r="N23" s="72"/>
      <x:c r="O23" s="72"/>
      <x:c r="P23" s="72"/>
      <x:c r="Q23" s="72" t="str">
        <x:v>Nie nadrabiaj zaległości. Regeneracja jest częścią planu.</x:v>
      </x:c>
      <x:c r="V23" s="227"/>
      <x:c r="W23" s="228"/>
      <x:c r="X23" s="226"/>
      <x:c r="Y23" s="229"/>
      <x:c r="Z23" s="227"/>
      <x:c r="AA23" s="226" t="str">
        <x:f>IF(AND(L23="",M23="",N23="",Z23=""),"",IF(OR(M23&gt;=5,N23&lt;6,L23&gt;=8),"CZERWONY",IF(OR(M23&gt;=3,N23&lt;6.5,L23&gt;=7,Z23&lt;=4),"ŻÓŁTY","OK")))</x:f>
      </x:c>
      <x:c r="AB23" s="226" t="str">
        <x:f>IF(AA23="","",IF(AA23="OK","Realizuj plan normalnie.",IF(AA23="ŻÓŁTY","Skróć 10-30% albo zamień akcent na easy.", "STOP mocne bodźce: wolne/basen/Tacx Z1 48-72 h.")))</x:f>
      </x:c>
    </x:row>
    <x:row r="24">
      <x:c r="A24" s="53" t="n">
        <x:v>46203</x:v>
      </x:c>
      <x:c r="B24" s="54" t="str">
        <x:v>Wtorek</x:v>
      </x:c>
      <x:c r="C24" s="54" t="str">
        <x:v>Tydzień 11 do Oslo</x:v>
      </x:c>
      <x:c r="D24" s="54" t="str">
        <x:v>Próg/steady + dłuższy long</x:v>
      </x:c>
      <x:c r="E24" s="54" t="str">
        <x:v>Bieg 3x2 km</x:v>
      </x:c>
      <x:c r="F24" s="54" t="str">
        <x:v>2 km easy + 3x2 km 4:35-4:45/km / 1 km easy + schłodzenie.</x:v>
      </x:c>
      <x:c r="G24" s="54" t="str">
        <x:v>MOCNY</x:v>
      </x:c>
      <x:c r="H24" s="54" t="str">
        <x:v>Siła tempowa</x:v>
      </x:c>
      <x:c r="I24" s="54" t="str">
        <x:v>2-3 h przed: kleik/ryż/wafle + miód/dżem; mało tłuszczu i błonnika.</x:v>
      </x:c>
      <x:c r="J24" s="54" t="str">
        <x:v>Ryż/ziemniaki/kasza + lekkie białko + warzywa.</x:v>
      </x:c>
      <x:c r="K24" s="54" t="str">
        <x:v>Po: 20-35 g białka + węgle; elektrolity.</x:v>
      </x:c>
      <x:c r="L24" s="54"/>
      <x:c r="M24" s="54"/>
      <x:c r="N24" s="54"/>
      <x:c r="O24" s="54"/>
      <x:c r="P24" s="54"/>
      <x:c r="Q24" s="54" t="str">
        <x:v>Jeśli ból ≥3/10 lub sen &lt;6 h: zamień na easy 30-45 min albo basen.</x:v>
      </x:c>
      <x:c r="V24" s="227"/>
      <x:c r="W24" s="228"/>
      <x:c r="X24" s="226"/>
      <x:c r="Y24" s="229"/>
      <x:c r="Z24" s="227"/>
      <x:c r="AA24" s="226" t="str">
        <x:f>IF(AND(L24="",M24="",N24="",Z24=""),"",IF(OR(M24&gt;=5,N24&lt;6,L24&gt;=8),"CZERWONY",IF(OR(M24&gt;=3,N24&lt;6.5,L24&gt;=7,Z24&lt;=4),"ŻÓŁTY","OK")))</x:f>
      </x:c>
      <x:c r="AB24" s="226" t="str">
        <x:f>IF(AA24="","",IF(AA24="OK","Realizuj plan normalnie.",IF(AA24="ŻÓŁTY","Skróć 10-30% albo zamień akcent na easy.", "STOP mocne bodźce: wolne/basen/Tacx Z1 48-72 h.")))</x:f>
      </x:c>
    </x:row>
    <x:row r="25" ht="26" customHeight="1">
      <x:c r="A25" s="148" t="n">
        <x:v>46204</x:v>
      </x:c>
      <x:c r="B25" s="149" t="str">
        <x:v>Środa</x:v>
      </x:c>
      <x:c r="C25" s="149" t="str">
        <x:v>Tydzień 11 do Oslo</x:v>
      </x:c>
      <x:c r="D25" s="154" t="str">
        <x:v>Próg/steady + dłuższy long</x:v>
      </x:c>
      <x:c r="E25" s="154" t="str">
        <x:v>Tacx Z1/Z2</x:v>
      </x:c>
      <x:c r="F25" s="154" t="str">
        <x:v>55-70 min Z2 155-185 W, kadencja 90-95. Bez sweet spotu w Fazie 1.</x:v>
      </x:c>
      <x:c r="G25" s="154" t="str">
        <x:v>ŁATWY</x:v>
      </x:c>
      <x:c r="H25" s="154" t="str">
        <x:v>Tlen bez dobijania nóg</x:v>
      </x:c>
      <x:c r="I25" s="154" t="str">
        <x:v>Jajka lub jogurt/skyr + owoce; kawa spokojnie.</x:v>
      </x:c>
      <x:c r="J25" s="154" t="str">
        <x:v>Zupa/kasza/ryż + warzywa + białko; nawodnienie.</x:v>
      </x:c>
      <x:c r="K25" s="154" t="str">
        <x:v>Lekka kolacja: ryż/ziemniaki + ryba/tofu/jaja + warzywa.</x:v>
      </x:c>
      <x:c r="L25" s="154"/>
      <x:c r="M25" s="154"/>
      <x:c r="N25" s="154"/>
      <x:c r="O25" s="154"/>
      <x:c r="P25" s="154"/>
      <x:c r="Q25" s="154" t="str">
        <x:v>Jeśli nogi ciężkie: skróć o 20-30% i trzymaj Z1/Z2.</x:v>
      </x:c>
      <x:c r="R25" s="136" t="str">
        <x:v>LIPIEC 2026</x:v>
      </x:c>
      <x:c r="V25" s="227"/>
      <x:c r="W25" s="228"/>
      <x:c r="X25" s="226"/>
      <x:c r="Y25" s="229"/>
      <x:c r="Z25" s="227"/>
      <x:c r="AA25" s="226" t="str">
        <x:f>IF(AND(L25="",M25="",N25="",Z25=""),"",IF(OR(M25&gt;=5,N25&lt;6,L25&gt;=8),"CZERWONY",IF(OR(M25&gt;=3,N25&lt;6.5,L25&gt;=7,Z25&lt;=4),"ŻÓŁTY","OK")))</x:f>
      </x:c>
      <x:c r="AB25" s="226" t="str">
        <x:f>IF(AA25="","",IF(AA25="OK","Realizuj plan normalnie.",IF(AA25="ŻÓŁTY","Skróć 10-30% albo zamień akcent na easy.", "STOP mocne bodźce: wolne/basen/Tacx Z1 48-72 h.")))</x:f>
      </x:c>
    </x:row>
    <x:row r="26">
      <x:c r="A26" s="53" t="n">
        <x:v>46205</x:v>
      </x:c>
      <x:c r="B26" s="54" t="str">
        <x:v>Czwartek</x:v>
      </x:c>
      <x:c r="C26" s="54" t="str">
        <x:v>Tydzień 11 do Oslo</x:v>
      </x:c>
      <x:c r="D26" s="54" t="str">
        <x:v>Próg/steady + dłuższy long</x:v>
      </x:c>
      <x:c r="E26" s="54" t="str">
        <x:v>Bieg easy + BASEN</x:v>
      </x:c>
      <x:c r="F26" s="54" t="str">
        <x:v>RANO: 6-9 km easy 5:40-6:05/km + 10-15 min mobility. WIECZÓR: 800-1200 m luźno.</x:v>
      </x:c>
      <x:c r="G26" s="54" t="str">
        <x:v>ŁATWY</x:v>
      </x:c>
      <x:c r="H26" s="54" t="str">
        <x:v>Objętość nisko-kosztowa</x:v>
      </x:c>
      <x:c r="I26" s="54" t="str">
        <x:v>Jajka lub jogurt/skyr + owoce; kawa spokojnie.</x:v>
      </x:c>
      <x:c r="J26" s="54" t="str">
        <x:v>Zupa/kasza/ryż + warzywa + białko; nawodnienie.</x:v>
      </x:c>
      <x:c r="K26" s="54" t="str">
        <x:v>Lekka kolacja: ryż/ziemniaki + ryba/tofu/jaja + warzywa.</x:v>
      </x:c>
      <x:c r="L26" s="54"/>
      <x:c r="M26" s="54"/>
      <x:c r="N26" s="54"/>
      <x:c r="O26" s="54"/>
      <x:c r="P26" s="54"/>
      <x:c r="Q26" s="54" t="str">
        <x:v>Jeśli nogi ciężkie: skróć o 20-30% i trzymaj Z1/Z2.</x:v>
      </x:c>
      <x:c r="V26" s="227"/>
      <x:c r="W26" s="228"/>
      <x:c r="X26" s="226"/>
      <x:c r="Y26" s="229"/>
      <x:c r="Z26" s="227"/>
      <x:c r="AA26" s="226" t="str">
        <x:f>IF(AND(L26="",M26="",N26="",Z26=""),"",IF(OR(M26&gt;=5,N26&lt;6,L26&gt;=8),"CZERWONY",IF(OR(M26&gt;=3,N26&lt;6.5,L26&gt;=7,Z26&lt;=4),"ŻÓŁTY","OK")))</x:f>
      </x:c>
      <x:c r="AB26" s="226" t="str">
        <x:f>IF(AA26="","",IF(AA26="OK","Realizuj plan normalnie.",IF(AA26="ŻÓŁTY","Skróć 10-30% albo zamień akcent na easy.", "STOP mocne bodźce: wolne/basen/Tacx Z1 48-72 h.")))</x:f>
      </x:c>
    </x:row>
    <x:row r="27">
      <x:c r="A27" s="53" t="n">
        <x:v>46206</x:v>
      </x:c>
      <x:c r="B27" s="54" t="str">
        <x:v>Piątek</x:v>
      </x:c>
      <x:c r="C27" s="54" t="str">
        <x:v>Tydzień 11 do Oslo</x:v>
      </x:c>
      <x:c r="D27" s="54" t="str">
        <x:v>Próg/steady + dłuższy long</x:v>
      </x:c>
      <x:c r="E27" s="54" t="str">
        <x:v>BASEN / WOLNE</x:v>
      </x:c>
      <x:c r="F27" s="54" t="str">
        <x:v>1000-1400 m technika lub WOLNE, jeśli stopa/łydka sygnalizuje zmęczenie.</x:v>
      </x:c>
      <x:c r="G27" s="54" t="str">
        <x:v>REGENERACJA</x:v>
      </x:c>
      <x:c r="H27" s="54" t="str">
        <x:v>Technika i regeneracja</x:v>
      </x:c>
      <x:c r="I27" s="54" t="str">
        <x:v>Normalne śniadanie, bez wymuszonego ładowania.</x:v>
      </x:c>
      <x:c r="J27" s="54" t="str">
        <x:v>Warzywa + białko + spokojna porcja węgli.</x:v>
      </x:c>
      <x:c r="K27" s="54" t="str">
        <x:v>Lekko, prosto, sen ważniejszy niż idealne makro.</x:v>
      </x:c>
      <x:c r="L27" s="54"/>
      <x:c r="M27" s="54"/>
      <x:c r="N27" s="54"/>
      <x:c r="O27" s="54"/>
      <x:c r="P27" s="54"/>
      <x:c r="Q27" s="54" t="str">
        <x:v>Nie nadrabiaj zaległości. Regeneracja jest częścią planu.</x:v>
      </x:c>
      <x:c r="V27" s="227"/>
      <x:c r="W27" s="228"/>
      <x:c r="X27" s="226"/>
      <x:c r="Y27" s="229"/>
      <x:c r="Z27" s="227"/>
      <x:c r="AA27" s="226" t="str">
        <x:f>IF(AND(L27="",M27="",N27="",Z27=""),"",IF(OR(M27&gt;=5,N27&lt;6,L27&gt;=8),"CZERWONY",IF(OR(M27&gt;=3,N27&lt;6.5,L27&gt;=7,Z27&lt;=4),"ŻÓŁTY","OK")))</x:f>
      </x:c>
      <x:c r="AB27" s="226" t="str">
        <x:f>IF(AA27="","",IF(AA27="OK","Realizuj plan normalnie.",IF(AA27="ŻÓŁTY","Skróć 10-30% albo zamień akcent na easy.", "STOP mocne bodźce: wolne/basen/Tacx Z1 48-72 h.")))</x:f>
      </x:c>
    </x:row>
    <x:row r="28">
      <x:c r="A28" s="53" t="n">
        <x:v>46207</x:v>
      </x:c>
      <x:c r="B28" s="54" t="str">
        <x:v>Sobota</x:v>
      </x:c>
      <x:c r="C28" s="54" t="str">
        <x:v>Tydzień 11 do Oslo</x:v>
      </x:c>
      <x:c r="D28" s="54" t="str">
        <x:v>Próg/steady + dłuższy long</x:v>
      </x:c>
      <x:c r="E28" s="54" t="str">
        <x:v>Bieg long z końcówką steady</x:v>
      </x:c>
      <x:c r="F28" s="54" t="str">
        <x:v>24 km: 18 km easy + 6 km steady 5:05-5:15/km. Nie szybciej.</x:v>
      </x:c>
      <x:c r="G28" s="54" t="str">
        <x:v>LONG</x:v>
      </x:c>
      <x:c r="H28" s="54" t="str">
        <x:v>Wytrzymałość maratońska</x:v>
      </x:c>
      <x:c r="I28" s="54" t="str">
        <x:v>3 h przed: sprawdzony posiłek węglowodanowy; bez nowych produktów.</x:v>
      </x:c>
      <x:c r="J28" s="54" t="str">
        <x:v>Po treningu: ryż/ziemniaki + białko + sól/elektrolity.</x:v>
      </x:c>
      <x:c r="K28" s="54" t="str">
        <x:v>Kolacja regeneracyjna: węgle + białko + warzywa; uzupełnij płyny.</x:v>
      </x:c>
      <x:c r="L28" s="54"/>
      <x:c r="M28" s="54"/>
      <x:c r="N28" s="54"/>
      <x:c r="O28" s="54"/>
      <x:c r="P28" s="54"/>
      <x:c r="Q28" s="54" t="str">
        <x:v>Jeśli ból narasta lub RPE &gt;7 przed połową: skróć, nie nadrabiaj kilometrów.</x:v>
      </x:c>
      <x:c r="V28" s="227"/>
      <x:c r="W28" s="228"/>
      <x:c r="X28" s="226"/>
      <x:c r="Y28" s="229"/>
      <x:c r="Z28" s="227"/>
      <x:c r="AA28" s="226" t="str">
        <x:f>IF(AND(L28="",M28="",N28="",Z28=""),"",IF(OR(M28&gt;=5,N28&lt;6,L28&gt;=8),"CZERWONY",IF(OR(M28&gt;=3,N28&lt;6.5,L28&gt;=7,Z28&lt;=4),"ŻÓŁTY","OK")))</x:f>
      </x:c>
      <x:c r="AB28" s="226" t="str">
        <x:f>IF(AA28="","",IF(AA28="OK","Realizuj plan normalnie.",IF(AA28="ŻÓŁTY","Skróć 10-30% albo zamień akcent na easy.", "STOP mocne bodźce: wolne/basen/Tacx Z1 48-72 h.")))</x:f>
      </x:c>
    </x:row>
    <x:row r="29">
      <x:c r="A29" s="71" t="n">
        <x:v>46208</x:v>
      </x:c>
      <x:c r="B29" s="72" t="str">
        <x:v>Niedziela</x:v>
      </x:c>
      <x:c r="C29" s="72" t="str">
        <x:v>Tydzień 11 do Oslo</x:v>
      </x:c>
      <x:c r="D29" s="72" t="str">
        <x:v>Próg/steady + dłuższy long</x:v>
      </x:c>
      <x:c r="E29" s="72" t="str">
        <x:v>WOLNE / spacer</x:v>
      </x:c>
      <x:c r="F29" s="72" t="str">
        <x:v>Pełny odpoczynek lub spacer 20-40 min. Kontrola bólu 0-10.</x:v>
      </x:c>
      <x:c r="G29" s="72" t="str">
        <x:v>WOLNE</x:v>
      </x:c>
      <x:c r="H29" s="72" t="str">
        <x:v>Adaptacja</x:v>
      </x:c>
      <x:c r="I29" s="72" t="str">
        <x:v>Normalne śniadanie, bez wymuszonego ładowania.</x:v>
      </x:c>
      <x:c r="J29" s="72" t="str">
        <x:v>Warzywa + białko + spokojna porcja węgli.</x:v>
      </x:c>
      <x:c r="K29" s="72" t="str">
        <x:v>Lekko, prosto, sen ważniejszy niż idealne makro.</x:v>
      </x:c>
      <x:c r="L29" s="72"/>
      <x:c r="M29" s="72"/>
      <x:c r="N29" s="72"/>
      <x:c r="O29" s="72"/>
      <x:c r="P29" s="72"/>
      <x:c r="Q29" s="72" t="str">
        <x:v>Nie nadrabiaj zaległości. Regeneracja jest częścią planu.</x:v>
      </x:c>
      <x:c r="V29" s="227"/>
      <x:c r="W29" s="228"/>
      <x:c r="X29" s="226"/>
      <x:c r="Y29" s="229"/>
      <x:c r="Z29" s="227"/>
      <x:c r="AA29" s="226" t="str">
        <x:f>IF(AND(L29="",M29="",N29="",Z29=""),"",IF(OR(M29&gt;=5,N29&lt;6,L29&gt;=8),"CZERWONY",IF(OR(M29&gt;=3,N29&lt;6.5,L29&gt;=7,Z29&lt;=4),"ŻÓŁTY","OK")))</x:f>
      </x:c>
      <x:c r="AB29" s="226" t="str">
        <x:f>IF(AA29="","",IF(AA29="OK","Realizuj plan normalnie.",IF(AA29="ŻÓŁTY","Skróć 10-30% albo zamień akcent na easy.", "STOP mocne bodźce: wolne/basen/Tacx Z1 48-72 h.")))</x:f>
      </x:c>
    </x:row>
    <x:row r="30">
      <x:c r="A30" s="71" t="n">
        <x:v>46209</x:v>
      </x:c>
      <x:c r="B30" s="72" t="str">
        <x:v>Poniedziałek</x:v>
      </x:c>
      <x:c r="C30" s="72" t="str">
        <x:v>Tydzień 10 do Oslo</x:v>
      </x:c>
      <x:c r="D30" s="72" t="str">
        <x:v>Tydzień lżejszy + sprawdzian 10 km</x:v>
      </x:c>
      <x:c r="E30" s="72" t="str">
        <x:v>WOLNE</x:v>
      </x:c>
      <x:c r="F30" s="72" t="str">
        <x:v>Dzień wolny. Mobilizacja bioder/łydek 10-15 min, sen, nawodnienie.</x:v>
      </x:c>
      <x:c r="G30" s="72" t="str">
        <x:v>WOLNE</x:v>
      </x:c>
      <x:c r="H30" s="72" t="str">
        <x:v>Regeneracja</x:v>
      </x:c>
      <x:c r="I30" s="72" t="str">
        <x:v>Normalne śniadanie, bez wymuszonego ładowania.</x:v>
      </x:c>
      <x:c r="J30" s="72" t="str">
        <x:v>Warzywa + białko + spokojna porcja węgli.</x:v>
      </x:c>
      <x:c r="K30" s="72" t="str">
        <x:v>Lekko, prosto, sen ważniejszy niż idealne makro.</x:v>
      </x:c>
      <x:c r="L30" s="72"/>
      <x:c r="M30" s="72"/>
      <x:c r="N30" s="72"/>
      <x:c r="O30" s="72"/>
      <x:c r="P30" s="72"/>
      <x:c r="Q30" s="72" t="str">
        <x:v>Nie nadrabiaj zaległości. Regeneracja jest częścią planu.</x:v>
      </x:c>
      <x:c r="V30" s="227"/>
      <x:c r="W30" s="228"/>
      <x:c r="X30" s="226"/>
      <x:c r="Y30" s="229"/>
      <x:c r="Z30" s="227"/>
      <x:c r="AA30" s="226" t="str">
        <x:f>IF(AND(L30="",M30="",N30="",Z30=""),"",IF(OR(M30&gt;=5,N30&lt;6,L30&gt;=8),"CZERWONY",IF(OR(M30&gt;=3,N30&lt;6.5,L30&gt;=7,Z30&lt;=4),"ŻÓŁTY","OK")))</x:f>
      </x:c>
      <x:c r="AB30" s="226" t="str">
        <x:f>IF(AA30="","",IF(AA30="OK","Realizuj plan normalnie.",IF(AA30="ŻÓŁTY","Skróć 10-30% albo zamień akcent na easy.", "STOP mocne bodźce: wolne/basen/Tacx Z1 48-72 h.")))</x:f>
      </x:c>
    </x:row>
    <x:row r="31">
      <x:c r="A31" s="65" t="n">
        <x:v>46210</x:v>
      </x:c>
      <x:c r="B31" s="66" t="str">
        <x:v>Wtorek</x:v>
      </x:c>
      <x:c r="C31" s="66" t="str">
        <x:v>Tydzień 10 do Oslo</x:v>
      </x:c>
      <x:c r="D31" s="66" t="str">
        <x:v>Tydzień lżejszy + sprawdzian 10 km</x:v>
      </x:c>
      <x:c r="E31" s="66" t="str">
        <x:v>Bieg easy + rytmy</x:v>
      </x:c>
      <x:c r="F31" s="66" t="str">
        <x:v>7-8 km easy + 6x20 s rytmy. Zostaw świeżość na test 10 km.</x:v>
      </x:c>
      <x:c r="G31" s="66" t="str">
        <x:v>ŁATWY</x:v>
      </x:c>
      <x:c r="H31" s="66" t="str">
        <x:v>Świeżość</x:v>
      </x:c>
      <x:c r="I31" s="66" t="str">
        <x:v>Jajka lub jogurt/skyr + owoce; kawa spokojnie.</x:v>
      </x:c>
      <x:c r="J31" s="66" t="str">
        <x:v>Zupa/kasza/ryż + warzywa + białko; nawodnienie.</x:v>
      </x:c>
      <x:c r="K31" s="66" t="str">
        <x:v>Lekka kolacja: ryż/ziemniaki + ryba/tofu/jaja + warzywa.</x:v>
      </x:c>
      <x:c r="L31" s="66"/>
      <x:c r="M31" s="66"/>
      <x:c r="N31" s="66"/>
      <x:c r="O31" s="66"/>
      <x:c r="P31" s="66"/>
      <x:c r="Q31" s="66" t="str">
        <x:v>Jeśli nogi ciężkie: skróć o 20-30% i trzymaj Z1/Z2.</x:v>
      </x:c>
      <x:c r="V31" s="227"/>
      <x:c r="W31" s="228"/>
      <x:c r="X31" s="226"/>
      <x:c r="Y31" s="229"/>
      <x:c r="Z31" s="227"/>
      <x:c r="AA31" s="226" t="str">
        <x:f>IF(AND(L31="",M31="",N31="",Z31=""),"",IF(OR(M31&gt;=5,N31&lt;6,L31&gt;=8),"CZERWONY",IF(OR(M31&gt;=3,N31&lt;6.5,L31&gt;=7,Z31&lt;=4),"ŻÓŁTY","OK")))</x:f>
      </x:c>
      <x:c r="AB31" s="226" t="str">
        <x:f>IF(AA31="","",IF(AA31="OK","Realizuj plan normalnie.",IF(AA31="ŻÓŁTY","Skróć 10-30% albo zamień akcent na easy.", "STOP mocne bodźce: wolne/basen/Tacx Z1 48-72 h.")))</x:f>
      </x:c>
    </x:row>
    <x:row r="32">
      <x:c r="A32" s="113" t="n">
        <x:v>46211</x:v>
      </x:c>
      <x:c r="B32" s="107" t="str">
        <x:v>Środa</x:v>
      </x:c>
      <x:c r="C32" s="107" t="str">
        <x:v>Tydzień 10 do Oslo</x:v>
      </x:c>
      <x:c r="D32" s="107" t="str">
        <x:v>Tydzień lżejszy + sprawdzian 10 km</x:v>
      </x:c>
      <x:c r="E32" s="107" t="str">
        <x:v>Tacx Z1/Z2</x:v>
      </x:c>
      <x:c r="F32" s="107" t="str">
        <x:v>40-50 min luźno Z1/Z2 140-165 W. Regeneracja, nie trening mocy.</x:v>
      </x:c>
      <x:c r="G32" s="107" t="str">
        <x:v>REGENERACJA</x:v>
      </x:c>
      <x:c r="H32" s="107" t="str">
        <x:v>Tlen bez dobijania nóg</x:v>
      </x:c>
      <x:c r="I32" s="107" t="str">
        <x:v>Normalne śniadanie, bez wymuszonego ładowania.</x:v>
      </x:c>
      <x:c r="J32" s="107" t="str">
        <x:v>Warzywa + białko + spokojna porcja węgli.</x:v>
      </x:c>
      <x:c r="K32" s="107" t="str">
        <x:v>Lekko, prosto, sen ważniejszy niż idealne makro.</x:v>
      </x:c>
      <x:c r="L32" s="107"/>
      <x:c r="M32" s="107"/>
      <x:c r="N32" s="107"/>
      <x:c r="O32" s="107"/>
      <x:c r="P32" s="107"/>
      <x:c r="Q32" s="107" t="str">
        <x:v>Nie nadrabiaj zaległości. Regeneracja jest częścią planu.</x:v>
      </x:c>
      <x:c r="V32" s="227"/>
      <x:c r="W32" s="228"/>
      <x:c r="X32" s="226"/>
      <x:c r="Y32" s="229"/>
      <x:c r="Z32" s="227"/>
      <x:c r="AA32" s="226" t="str">
        <x:f>IF(AND(L32="",M32="",N32="",Z32=""),"",IF(OR(M32&gt;=5,N32&lt;6,L32&gt;=8),"CZERWONY",IF(OR(M32&gt;=3,N32&lt;6.5,L32&gt;=7,Z32&lt;=4),"ŻÓŁTY","OK")))</x:f>
      </x:c>
      <x:c r="AB32" s="226" t="str">
        <x:f>IF(AA32="","",IF(AA32="OK","Realizuj plan normalnie.",IF(AA32="ŻÓŁTY","Skróć 10-30% albo zamień akcent na easy.", "STOP mocne bodźce: wolne/basen/Tacx Z1 48-72 h.")))</x:f>
      </x:c>
    </x:row>
    <x:row r="33">
      <x:c r="A33" s="77" t="n">
        <x:v>46212</x:v>
      </x:c>
      <x:c r="B33" s="78" t="str">
        <x:v>Czwartek</x:v>
      </x:c>
      <x:c r="C33" s="78" t="str">
        <x:v>Tydzień 10 do Oslo</x:v>
      </x:c>
      <x:c r="D33" s="78" t="str">
        <x:v>Tydzień lżejszy + sprawdzian 10 km</x:v>
      </x:c>
      <x:c r="E33" s="78" t="str">
        <x:v>Bieg easy + BASEN</x:v>
      </x:c>
      <x:c r="F33" s="78" t="str">
        <x:v>RANO: 6-9 km easy 5:40-6:05/km + 10-15 min mobility. WIECZÓR: 800-1200 m luźno.</x:v>
      </x:c>
      <x:c r="G33" s="78" t="str">
        <x:v>ŁATWY</x:v>
      </x:c>
      <x:c r="H33" s="78" t="str">
        <x:v>Objętość nisko-kosztowa</x:v>
      </x:c>
      <x:c r="I33" s="78" t="str">
        <x:v>Jajka lub jogurt/skyr + owoce; kawa spokojnie.</x:v>
      </x:c>
      <x:c r="J33" s="78" t="str">
        <x:v>Zupa/kasza/ryż + warzywa + białko; nawodnienie.</x:v>
      </x:c>
      <x:c r="K33" s="78" t="str">
        <x:v>Lekka kolacja: ryż/ziemniaki + ryba/tofu/jaja + warzywa.</x:v>
      </x:c>
      <x:c r="L33" s="78"/>
      <x:c r="M33" s="78"/>
      <x:c r="N33" s="78"/>
      <x:c r="O33" s="78"/>
      <x:c r="P33" s="78"/>
      <x:c r="Q33" s="78" t="str">
        <x:v>Jeśli nogi ciężkie: skróć o 20-30% i trzymaj Z1/Z2.</x:v>
      </x:c>
      <x:c r="V33" s="227"/>
      <x:c r="W33" s="228"/>
      <x:c r="X33" s="226"/>
      <x:c r="Y33" s="229"/>
      <x:c r="Z33" s="227"/>
      <x:c r="AA33" s="226" t="str">
        <x:f>IF(AND(L33="",M33="",N33="",Z33=""),"",IF(OR(M33&gt;=5,N33&lt;6,L33&gt;=8),"CZERWONY",IF(OR(M33&gt;=3,N33&lt;6.5,L33&gt;=7,Z33&lt;=4),"ŻÓŁTY","OK")))</x:f>
      </x:c>
      <x:c r="AB33" s="226" t="str">
        <x:f>IF(AA33="","",IF(AA33="OK","Realizuj plan normalnie.",IF(AA33="ŻÓŁTY","Skróć 10-30% albo zamień akcent na easy.", "STOP mocne bodźce: wolne/basen/Tacx Z1 48-72 h.")))</x:f>
      </x:c>
    </x:row>
    <x:row r="34">
      <x:c r="A34" s="77" t="n">
        <x:v>46213</x:v>
      </x:c>
      <x:c r="B34" s="78" t="str">
        <x:v>Piątek</x:v>
      </x:c>
      <x:c r="C34" s="78" t="str">
        <x:v>Tydzień 10 do Oslo</x:v>
      </x:c>
      <x:c r="D34" s="78" t="str">
        <x:v>Tydzień lżejszy + sprawdzian 10 km</x:v>
      </x:c>
      <x:c r="E34" s="78" t="str">
        <x:v>BASEN / WOLNE</x:v>
      </x:c>
      <x:c r="F34" s="78" t="str">
        <x:v>1000-1400 m technika lub WOLNE, jeśli stopa/łydka sygnalizuje zmęczenie.</x:v>
      </x:c>
      <x:c r="G34" s="78" t="str">
        <x:v>REGENERACJA</x:v>
      </x:c>
      <x:c r="H34" s="78" t="str">
        <x:v>Technika i regeneracja</x:v>
      </x:c>
      <x:c r="I34" s="78" t="str">
        <x:v>Normalne śniadanie, bez wymuszonego ładowania.</x:v>
      </x:c>
      <x:c r="J34" s="78" t="str">
        <x:v>Warzywa + białko + spokojna porcja węgli.</x:v>
      </x:c>
      <x:c r="K34" s="78" t="str">
        <x:v>Lekko, prosto, sen ważniejszy niż idealne makro.</x:v>
      </x:c>
      <x:c r="L34" s="78"/>
      <x:c r="M34" s="78"/>
      <x:c r="N34" s="78"/>
      <x:c r="O34" s="78"/>
      <x:c r="P34" s="78"/>
      <x:c r="Q34" s="78" t="str">
        <x:v>Nie nadrabiaj zaległości. Regeneracja jest częścią planu.</x:v>
      </x:c>
      <x:c r="V34" s="227"/>
      <x:c r="W34" s="228"/>
      <x:c r="X34" s="226"/>
      <x:c r="Y34" s="229"/>
      <x:c r="Z34" s="227"/>
      <x:c r="AA34" s="226" t="str">
        <x:f>IF(AND(L34="",M34="",N34="",Z34=""),"",IF(OR(M34&gt;=5,N34&lt;6,L34&gt;=8),"CZERWONY",IF(OR(M34&gt;=3,N34&lt;6.5,L34&gt;=7,Z34&lt;=4),"ŻÓŁTY","OK")))</x:f>
      </x:c>
      <x:c r="AB34" s="226" t="str">
        <x:f>IF(AA34="","",IF(AA34="OK","Realizuj plan normalnie.",IF(AA34="ŻÓŁTY","Skróć 10-30% albo zamień akcent na easy.", "STOP mocne bodźce: wolne/basen/Tacx Z1 48-72 h.")))</x:f>
      </x:c>
    </x:row>
    <x:row r="35">
      <x:c r="A35" s="53" t="n">
        <x:v>46214</x:v>
      </x:c>
      <x:c r="B35" s="54" t="str">
        <x:v>Sobota</x:v>
      </x:c>
      <x:c r="C35" s="54" t="str">
        <x:v>Tydzień 10 do Oslo</x:v>
      </x:c>
      <x:c r="D35" s="54" t="str">
        <x:v>Tydzień lżejszy + sprawdzian 10 km</x:v>
      </x:c>
      <x:c r="E35" s="54" t="str">
        <x:v>START TESTOWY 10 km / solo TT</x:v>
      </x:c>
      <x:c r="F35" s="54" t="str">
        <x:v>Rozgrzewka 2-3 km + 10 km kontrolnie mocno + 2 km schłodzenia. Cel: ocena formy, nie rekord za wszelką cenę.</x:v>
      </x:c>
      <x:c r="G35" s="54" t="str">
        <x:v>TEST/START</x:v>
      </x:c>
      <x:c r="H35" s="54" t="str">
        <x:v>Kalibracja tempa i tętna</x:v>
      </x:c>
      <x:c r="I35" s="54" t="str">
        <x:v>3 h przed: sprawdzony posiłek węglowodanowy; bez nowych produktów.</x:v>
      </x:c>
      <x:c r="J35" s="54" t="str">
        <x:v>Po treningu: ryż/ziemniaki + białko + sól/elektrolity.</x:v>
      </x:c>
      <x:c r="K35" s="54" t="str">
        <x:v>Kolacja regeneracyjna: węgle + białko + warzywa; uzupełnij płyny.</x:v>
      </x:c>
      <x:c r="L35" s="54"/>
      <x:c r="M35" s="54"/>
      <x:c r="N35" s="54"/>
      <x:c r="O35" s="54"/>
      <x:c r="P35" s="54"/>
      <x:c r="Q35" s="54" t="str">
        <x:v>Jeśli ból ≥3/10 lub sen &lt;6 h: zamień na easy 30-45 min albo basen.</x:v>
      </x:c>
      <x:c r="V35" s="227"/>
      <x:c r="W35" s="228"/>
      <x:c r="X35" s="226"/>
      <x:c r="Y35" s="229"/>
      <x:c r="Z35" s="227"/>
      <x:c r="AA35" s="226" t="str">
        <x:f>IF(AND(L35="",M35="",N35="",Z35=""),"",IF(OR(M35&gt;=5,N35&lt;6,L35&gt;=8),"CZERWONY",IF(OR(M35&gt;=3,N35&lt;6.5,L35&gt;=7,Z35&lt;=4),"ŻÓŁTY","OK")))</x:f>
      </x:c>
      <x:c r="AB35" s="226" t="str">
        <x:f>IF(AA35="","",IF(AA35="OK","Realizuj plan normalnie.",IF(AA35="ŻÓŁTY","Skróć 10-30% albo zamień akcent na easy.", "STOP mocne bodźce: wolne/basen/Tacx Z1 48-72 h.")))</x:f>
      </x:c>
    </x:row>
    <x:row r="36">
      <x:c r="A36" s="71" t="n">
        <x:v>46215</x:v>
      </x:c>
      <x:c r="B36" s="72" t="str">
        <x:v>Niedziela</x:v>
      </x:c>
      <x:c r="C36" s="72" t="str">
        <x:v>Tydzień 10 do Oslo</x:v>
      </x:c>
      <x:c r="D36" s="72" t="str">
        <x:v>Tydzień lżejszy + sprawdzian 10 km</x:v>
      </x:c>
      <x:c r="E36" s="72" t="str">
        <x:v>WOLNE / spacer</x:v>
      </x:c>
      <x:c r="F36" s="72" t="str">
        <x:v>Pełny odpoczynek lub spacer 20-40 min. Kontrola bólu 0-10.</x:v>
      </x:c>
      <x:c r="G36" s="72" t="str">
        <x:v>WOLNE</x:v>
      </x:c>
      <x:c r="H36" s="72" t="str">
        <x:v>Adaptacja</x:v>
      </x:c>
      <x:c r="I36" s="72" t="str">
        <x:v>Normalne śniadanie, bez wymuszonego ładowania.</x:v>
      </x:c>
      <x:c r="J36" s="72" t="str">
        <x:v>Warzywa + białko + spokojna porcja węgli.</x:v>
      </x:c>
      <x:c r="K36" s="72" t="str">
        <x:v>Lekko, prosto, sen ważniejszy niż idealne makro.</x:v>
      </x:c>
      <x:c r="L36" s="72"/>
      <x:c r="M36" s="72"/>
      <x:c r="N36" s="72"/>
      <x:c r="O36" s="72"/>
      <x:c r="P36" s="72"/>
      <x:c r="Q36" s="72" t="str">
        <x:v>Nie nadrabiaj zaległości. Regeneracja jest częścią planu.</x:v>
      </x:c>
      <x:c r="V36" s="227"/>
      <x:c r="W36" s="228"/>
      <x:c r="X36" s="226"/>
      <x:c r="Y36" s="229"/>
      <x:c r="Z36" s="227"/>
      <x:c r="AA36" s="226" t="str">
        <x:f>IF(AND(L36="",M36="",N36="",Z36=""),"",IF(OR(M36&gt;=5,N36&lt;6,L36&gt;=8),"CZERWONY",IF(OR(M36&gt;=3,N36&lt;6.5,L36&gt;=7,Z36&lt;=4),"ŻÓŁTY","OK")))</x:f>
      </x:c>
      <x:c r="AB36" s="226" t="str">
        <x:f>IF(AA36="","",IF(AA36="OK","Realizuj plan normalnie.",IF(AA36="ŻÓŁTY","Skróć 10-30% albo zamień akcent na easy.", "STOP mocne bodźce: wolne/basen/Tacx Z1 48-72 h.")))</x:f>
      </x:c>
    </x:row>
    <x:row r="37">
      <x:c r="A37" s="71" t="n">
        <x:v>46216</x:v>
      </x:c>
      <x:c r="B37" s="72" t="str">
        <x:v>Poniedziałek</x:v>
      </x:c>
      <x:c r="C37" s="72" t="str">
        <x:v>Tydzień 9 do Oslo</x:v>
      </x:c>
      <x:c r="D37" s="72" t="str">
        <x:v>Powrót do objętości po teście</x:v>
      </x:c>
      <x:c r="E37" s="72" t="str">
        <x:v>WOLNE</x:v>
      </x:c>
      <x:c r="F37" s="72" t="str">
        <x:v>Dzień wolny. Mobilizacja bioder/łydek 10-15 min, sen, nawodnienie.</x:v>
      </x:c>
      <x:c r="G37" s="72" t="str">
        <x:v>WOLNE</x:v>
      </x:c>
      <x:c r="H37" s="72" t="str">
        <x:v>Regeneracja</x:v>
      </x:c>
      <x:c r="I37" s="72" t="str">
        <x:v>Normalne śniadanie, bez wymuszonego ładowania.</x:v>
      </x:c>
      <x:c r="J37" s="72" t="str">
        <x:v>Warzywa + białko + spokojna porcja węgli.</x:v>
      </x:c>
      <x:c r="K37" s="72" t="str">
        <x:v>Lekko, prosto, sen ważniejszy niż idealne makro.</x:v>
      </x:c>
      <x:c r="L37" s="72"/>
      <x:c r="M37" s="72"/>
      <x:c r="N37" s="72"/>
      <x:c r="O37" s="72"/>
      <x:c r="P37" s="72"/>
      <x:c r="Q37" s="72" t="str">
        <x:v>Nie nadrabiaj zaległości. Regeneracja jest częścią planu.</x:v>
      </x:c>
      <x:c r="V37" s="227"/>
      <x:c r="W37" s="228"/>
      <x:c r="X37" s="226"/>
      <x:c r="Y37" s="229"/>
      <x:c r="Z37" s="227"/>
      <x:c r="AA37" s="226" t="str">
        <x:f>IF(AND(L37="",M37="",N37="",Z37=""),"",IF(OR(M37&gt;=5,N37&lt;6,L37&gt;=8),"CZERWONY",IF(OR(M37&gt;=3,N37&lt;6.5,L37&gt;=7,Z37&lt;=4),"ŻÓŁTY","OK")))</x:f>
      </x:c>
      <x:c r="AB37" s="226" t="str">
        <x:f>IF(AA37="","",IF(AA37="OK","Realizuj plan normalnie.",IF(AA37="ŻÓŁTY","Skróć 10-30% albo zamień akcent na easy.", "STOP mocne bodźce: wolne/basen/Tacx Z1 48-72 h.")))</x:f>
      </x:c>
    </x:row>
    <x:row r="38">
      <x:c r="A38" s="53" t="n">
        <x:v>46217</x:v>
      </x:c>
      <x:c r="B38" s="54" t="str">
        <x:v>Wtorek</x:v>
      </x:c>
      <x:c r="C38" s="54" t="str">
        <x:v>Tydzień 9 do Oslo</x:v>
      </x:c>
      <x:c r="D38" s="54" t="str">
        <x:v>Powrót do objętości po teście</x:v>
      </x:c>
      <x:c r="E38" s="54" t="str">
        <x:v>Bieg MP</x:v>
      </x:c>
      <x:c r="F38" s="54" t="str">
        <x:v>2 km easy + 2x5 km w 4:58-5:02/km / 1 km easy + schłodzenie.</x:v>
      </x:c>
      <x:c r="G38" s="54" t="str">
        <x:v>MP/RACE PACE</x:v>
      </x:c>
      <x:c r="H38" s="54" t="str">
        <x:v>Oswojenie tempa 3:30</x:v>
      </x:c>
      <x:c r="I38" s="54" t="str">
        <x:v>2-3 h przed: kleik/ryż/wafle + miód/dżem; mało tłuszczu i błonnika.</x:v>
      </x:c>
      <x:c r="J38" s="54" t="str">
        <x:v>Ryż/ziemniaki/kasza + lekkie białko + warzywa.</x:v>
      </x:c>
      <x:c r="K38" s="54" t="str">
        <x:v>Po: 20-35 g białka + węgle; elektrolity.</x:v>
      </x:c>
      <x:c r="L38" s="54"/>
      <x:c r="M38" s="54"/>
      <x:c r="N38" s="54"/>
      <x:c r="O38" s="54"/>
      <x:c r="P38" s="54"/>
      <x:c r="Q38" s="54" t="str">
        <x:v>Jeśli ból ≥3/10 lub sen &lt;6 h: zamień na easy 30-45 min albo basen.</x:v>
      </x:c>
      <x:c r="V38" s="227"/>
      <x:c r="W38" s="228"/>
      <x:c r="X38" s="226"/>
      <x:c r="Y38" s="229"/>
      <x:c r="Z38" s="227"/>
      <x:c r="AA38" s="226" t="str">
        <x:f>IF(AND(L38="",M38="",N38="",Z38=""),"",IF(OR(M38&gt;=5,N38&lt;6,L38&gt;=8),"CZERWONY",IF(OR(M38&gt;=3,N38&lt;6.5,L38&gt;=7,Z38&lt;=4),"ŻÓŁTY","OK")))</x:f>
      </x:c>
      <x:c r="AB38" s="226" t="str">
        <x:f>IF(AA38="","",IF(AA38="OK","Realizuj plan normalnie.",IF(AA38="ŻÓŁTY","Skróć 10-30% albo zamień akcent na easy.", "STOP mocne bodźce: wolne/basen/Tacx Z1 48-72 h.")))</x:f>
      </x:c>
    </x:row>
    <x:row r="39">
      <x:c r="A39" s="113" t="n">
        <x:v>46218</x:v>
      </x:c>
      <x:c r="B39" s="107" t="str">
        <x:v>Środa</x:v>
      </x:c>
      <x:c r="C39" s="107" t="str">
        <x:v>Tydzień 9 do Oslo</x:v>
      </x:c>
      <x:c r="D39" s="107" t="str">
        <x:v>Powrót do objętości po teście</x:v>
      </x:c>
      <x:c r="E39" s="107" t="str">
        <x:v>Tacx Z1/Z2</x:v>
      </x:c>
      <x:c r="F39" s="107" t="str">
        <x:v>55-70 min Z2 155-185 W, kadencja 90-95. Bez sweet spotu w Fazie 1.</x:v>
      </x:c>
      <x:c r="G39" s="107" t="str">
        <x:v>ŁATWY</x:v>
      </x:c>
      <x:c r="H39" s="107" t="str">
        <x:v>Tlen bez dobijania nóg</x:v>
      </x:c>
      <x:c r="I39" s="107" t="str">
        <x:v>Jajka lub jogurt/skyr + owoce; kawa spokojnie.</x:v>
      </x:c>
      <x:c r="J39" s="107" t="str">
        <x:v>Zupa/kasza/ryż + warzywa + białko; nawodnienie.</x:v>
      </x:c>
      <x:c r="K39" s="107" t="str">
        <x:v>Lekka kolacja: ryż/ziemniaki + ryba/tofu/jaja + warzywa.</x:v>
      </x:c>
      <x:c r="L39" s="107"/>
      <x:c r="M39" s="107"/>
      <x:c r="N39" s="107"/>
      <x:c r="O39" s="107"/>
      <x:c r="P39" s="107"/>
      <x:c r="Q39" s="107" t="str">
        <x:v>Jeśli nogi ciężkie: skróć o 20-30% i trzymaj Z1/Z2.</x:v>
      </x:c>
      <x:c r="V39" s="227"/>
      <x:c r="W39" s="228"/>
      <x:c r="X39" s="226"/>
      <x:c r="Y39" s="229"/>
      <x:c r="Z39" s="227"/>
      <x:c r="AA39" s="226" t="str">
        <x:f>IF(AND(L39="",M39="",N39="",Z39=""),"",IF(OR(M39&gt;=5,N39&lt;6,L39&gt;=8),"CZERWONY",IF(OR(M39&gt;=3,N39&lt;6.5,L39&gt;=7,Z39&lt;=4),"ŻÓŁTY","OK")))</x:f>
      </x:c>
      <x:c r="AB39" s="226" t="str">
        <x:f>IF(AA39="","",IF(AA39="OK","Realizuj plan normalnie.",IF(AA39="ŻÓŁTY","Skróć 10-30% albo zamień akcent na easy.", "STOP mocne bodźce: wolne/basen/Tacx Z1 48-72 h.")))</x:f>
      </x:c>
    </x:row>
    <x:row r="40">
      <x:c r="A40" s="77" t="n">
        <x:v>46219</x:v>
      </x:c>
      <x:c r="B40" s="78" t="str">
        <x:v>Czwartek</x:v>
      </x:c>
      <x:c r="C40" s="78" t="str">
        <x:v>Tydzień 9 do Oslo</x:v>
      </x:c>
      <x:c r="D40" s="78" t="str">
        <x:v>Powrót do objętości po teście</x:v>
      </x:c>
      <x:c r="E40" s="78" t="str">
        <x:v>Bieg easy + BASEN</x:v>
      </x:c>
      <x:c r="F40" s="78" t="str">
        <x:v>RANO: 6-9 km easy 5:40-6:05/km + 10-15 min mobility. WIECZÓR: 800-1200 m luźno.</x:v>
      </x:c>
      <x:c r="G40" s="78" t="str">
        <x:v>ŁATWY</x:v>
      </x:c>
      <x:c r="H40" s="78" t="str">
        <x:v>Objętość nisko-kosztowa</x:v>
      </x:c>
      <x:c r="I40" s="78" t="str">
        <x:v>Jajka lub jogurt/skyr + owoce; kawa spokojnie.</x:v>
      </x:c>
      <x:c r="J40" s="78" t="str">
        <x:v>Zupa/kasza/ryż + warzywa + białko; nawodnienie.</x:v>
      </x:c>
      <x:c r="K40" s="78" t="str">
        <x:v>Lekka kolacja: ryż/ziemniaki + ryba/tofu/jaja + warzywa.</x:v>
      </x:c>
      <x:c r="L40" s="78"/>
      <x:c r="M40" s="78"/>
      <x:c r="N40" s="78"/>
      <x:c r="O40" s="78"/>
      <x:c r="P40" s="78"/>
      <x:c r="Q40" s="78" t="str">
        <x:v>Jeśli nogi ciężkie: skróć o 20-30% i trzymaj Z1/Z2.</x:v>
      </x:c>
      <x:c r="V40" s="227"/>
      <x:c r="W40" s="228"/>
      <x:c r="X40" s="226"/>
      <x:c r="Y40" s="229"/>
      <x:c r="Z40" s="227"/>
      <x:c r="AA40" s="226" t="str">
        <x:f>IF(AND(L40="",M40="",N40="",Z40=""),"",IF(OR(M40&gt;=5,N40&lt;6,L40&gt;=8),"CZERWONY",IF(OR(M40&gt;=3,N40&lt;6.5,L40&gt;=7,Z40&lt;=4),"ŻÓŁTY","OK")))</x:f>
      </x:c>
      <x:c r="AB40" s="226" t="str">
        <x:f>IF(AA40="","",IF(AA40="OK","Realizuj plan normalnie.",IF(AA40="ŻÓŁTY","Skróć 10-30% albo zamień akcent na easy.", "STOP mocne bodźce: wolne/basen/Tacx Z1 48-72 h.")))</x:f>
      </x:c>
    </x:row>
    <x:row r="41">
      <x:c r="A41" s="77" t="n">
        <x:v>46220</x:v>
      </x:c>
      <x:c r="B41" s="78" t="str">
        <x:v>Piątek</x:v>
      </x:c>
      <x:c r="C41" s="78" t="str">
        <x:v>Tydzień 9 do Oslo</x:v>
      </x:c>
      <x:c r="D41" s="78" t="str">
        <x:v>Powrót do objętości po teście</x:v>
      </x:c>
      <x:c r="E41" s="78" t="str">
        <x:v>BASEN / WOLNE</x:v>
      </x:c>
      <x:c r="F41" s="78" t="str">
        <x:v>1000-1400 m technika lub WOLNE, jeśli stopa/łydka sygnalizuje zmęczenie.</x:v>
      </x:c>
      <x:c r="G41" s="78" t="str">
        <x:v>REGENERACJA</x:v>
      </x:c>
      <x:c r="H41" s="78" t="str">
        <x:v>Technika i regeneracja</x:v>
      </x:c>
      <x:c r="I41" s="78" t="str">
        <x:v>Normalne śniadanie, bez wymuszonego ładowania.</x:v>
      </x:c>
      <x:c r="J41" s="78" t="str">
        <x:v>Warzywa + białko + spokojna porcja węgli.</x:v>
      </x:c>
      <x:c r="K41" s="78" t="str">
        <x:v>Lekko, prosto, sen ważniejszy niż idealne makro.</x:v>
      </x:c>
      <x:c r="L41" s="78"/>
      <x:c r="M41" s="78"/>
      <x:c r="N41" s="78"/>
      <x:c r="O41" s="78"/>
      <x:c r="P41" s="78"/>
      <x:c r="Q41" s="78" t="str">
        <x:v>Nie nadrabiaj zaległości. Regeneracja jest częścią planu.</x:v>
      </x:c>
      <x:c r="V41" s="227"/>
      <x:c r="W41" s="228"/>
      <x:c r="X41" s="226"/>
      <x:c r="Y41" s="229"/>
      <x:c r="Z41" s="227"/>
      <x:c r="AA41" s="226" t="str">
        <x:f>IF(AND(L41="",M41="",N41="",Z41=""),"",IF(OR(M41&gt;=5,N41&lt;6,L41&gt;=8),"CZERWONY",IF(OR(M41&gt;=3,N41&lt;6.5,L41&gt;=7,Z41&lt;=4),"ŻÓŁTY","OK")))</x:f>
      </x:c>
      <x:c r="AB41" s="226" t="str">
        <x:f>IF(AA41="","",IF(AA41="OK","Realizuj plan normalnie.",IF(AA41="ŻÓŁTY","Skróć 10-30% albo zamień akcent na easy.", "STOP mocne bodźce: wolne/basen/Tacx Z1 48-72 h.")))</x:f>
      </x:c>
    </x:row>
    <x:row r="42">
      <x:c r="A42" s="65" t="n">
        <x:v>46221</x:v>
      </x:c>
      <x:c r="B42" s="66" t="str">
        <x:v>Sobota</x:v>
      </x:c>
      <x:c r="C42" s="66" t="str">
        <x:v>Tydzień 9 do Oslo</x:v>
      </x:c>
      <x:c r="D42" s="66" t="str">
        <x:v>Powrót do objętości po teście</x:v>
      </x:c>
      <x:c r="E42" s="66" t="str">
        <x:v>Bieg long easy</x:v>
      </x:c>
      <x:c r="F42" s="66" t="str">
        <x:v>26 km easy 5:35-5:55/km. Paliwo co 35-40 min.</x:v>
      </x:c>
      <x:c r="G42" s="66" t="str">
        <x:v>LONG</x:v>
      </x:c>
      <x:c r="H42" s="66" t="str">
        <x:v>Czas na nogach</x:v>
      </x:c>
      <x:c r="I42" s="66" t="str">
        <x:v>3 h przed: sprawdzony posiłek węglowodanowy; bez nowych produktów.</x:v>
      </x:c>
      <x:c r="J42" s="66" t="str">
        <x:v>Po treningu: ryż/ziemniaki + białko + sól/elektrolity.</x:v>
      </x:c>
      <x:c r="K42" s="66" t="str">
        <x:v>Kolacja regeneracyjna: węgle + białko + warzywa; uzupełnij płyny.</x:v>
      </x:c>
      <x:c r="L42" s="66"/>
      <x:c r="M42" s="66"/>
      <x:c r="N42" s="66"/>
      <x:c r="O42" s="66"/>
      <x:c r="P42" s="66"/>
      <x:c r="Q42" s="66" t="str">
        <x:v>Jeśli ból narasta lub RPE &gt;7 przed połową: skróć, nie nadrabiaj kilometrów.</x:v>
      </x:c>
      <x:c r="V42" s="227"/>
      <x:c r="W42" s="228"/>
      <x:c r="X42" s="226"/>
      <x:c r="Y42" s="229"/>
      <x:c r="Z42" s="227"/>
      <x:c r="AA42" s="226" t="str">
        <x:f>IF(AND(L42="",M42="",N42="",Z42=""),"",IF(OR(M42&gt;=5,N42&lt;6,L42&gt;=8),"CZERWONY",IF(OR(M42&gt;=3,N42&lt;6.5,L42&gt;=7,Z42&lt;=4),"ŻÓŁTY","OK")))</x:f>
      </x:c>
      <x:c r="AB42" s="226" t="str">
        <x:f>IF(AA42="","",IF(AA42="OK","Realizuj plan normalnie.",IF(AA42="ŻÓŁTY","Skróć 10-30% albo zamień akcent na easy.", "STOP mocne bodźce: wolne/basen/Tacx Z1 48-72 h.")))</x:f>
      </x:c>
    </x:row>
    <x:row r="43">
      <x:c r="A43" s="71" t="n">
        <x:v>46222</x:v>
      </x:c>
      <x:c r="B43" s="72" t="str">
        <x:v>Niedziela</x:v>
      </x:c>
      <x:c r="C43" s="72" t="str">
        <x:v>Tydzień 9 do Oslo</x:v>
      </x:c>
      <x:c r="D43" s="72" t="str">
        <x:v>Powrót do objętości po teście</x:v>
      </x:c>
      <x:c r="E43" s="72" t="str">
        <x:v>WOLNE / spacer</x:v>
      </x:c>
      <x:c r="F43" s="72" t="str">
        <x:v>Pełny odpoczynek lub spacer 20-40 min. Kontrola bólu 0-10.</x:v>
      </x:c>
      <x:c r="G43" s="72" t="str">
        <x:v>WOLNE</x:v>
      </x:c>
      <x:c r="H43" s="72" t="str">
        <x:v>Adaptacja</x:v>
      </x:c>
      <x:c r="I43" s="72" t="str">
        <x:v>Normalne śniadanie, bez wymuszonego ładowania.</x:v>
      </x:c>
      <x:c r="J43" s="72" t="str">
        <x:v>Warzywa + białko + spokojna porcja węgli.</x:v>
      </x:c>
      <x:c r="K43" s="72" t="str">
        <x:v>Lekko, prosto, sen ważniejszy niż idealne makro.</x:v>
      </x:c>
      <x:c r="L43" s="72"/>
      <x:c r="M43" s="72"/>
      <x:c r="N43" s="72"/>
      <x:c r="O43" s="72"/>
      <x:c r="P43" s="72"/>
      <x:c r="Q43" s="72" t="str">
        <x:v>Nie nadrabiaj zaległości. Regeneracja jest częścią planu.</x:v>
      </x:c>
      <x:c r="V43" s="227"/>
      <x:c r="W43" s="228"/>
      <x:c r="X43" s="226"/>
      <x:c r="Y43" s="229"/>
      <x:c r="Z43" s="227"/>
      <x:c r="AA43" s="226" t="str">
        <x:f>IF(AND(L43="",M43="",N43="",Z43=""),"",IF(OR(M43&gt;=5,N43&lt;6,L43&gt;=8),"CZERWONY",IF(OR(M43&gt;=3,N43&lt;6.5,L43&gt;=7,Z43&lt;=4),"ŻÓŁTY","OK")))</x:f>
      </x:c>
      <x:c r="AB43" s="226" t="str">
        <x:f>IF(AA43="","",IF(AA43="OK","Realizuj plan normalnie.",IF(AA43="ŻÓŁTY","Skróć 10-30% albo zamień akcent na easy.", "STOP mocne bodźce: wolne/basen/Tacx Z1 48-72 h.")))</x:f>
      </x:c>
    </x:row>
    <x:row r="44">
      <x:c r="A44" s="71" t="n">
        <x:v>46223</x:v>
      </x:c>
      <x:c r="B44" s="72" t="str">
        <x:v>Poniedziałek</x:v>
      </x:c>
      <x:c r="C44" s="72" t="str">
        <x:v>Tydzień 8 do Oslo</x:v>
      </x:c>
      <x:c r="D44" s="72" t="str">
        <x:v>Specyfika maratońska</x:v>
      </x:c>
      <x:c r="E44" s="72" t="str">
        <x:v>WOLNE</x:v>
      </x:c>
      <x:c r="F44" s="72" t="str">
        <x:v>Dzień wolny. Mobilizacja bioder/łydek 10-15 min, sen, nawodnienie.</x:v>
      </x:c>
      <x:c r="G44" s="72" t="str">
        <x:v>WOLNE</x:v>
      </x:c>
      <x:c r="H44" s="72" t="str">
        <x:v>Regeneracja</x:v>
      </x:c>
      <x:c r="I44" s="72" t="str">
        <x:v>Normalne śniadanie, bez wymuszonego ładowania.</x:v>
      </x:c>
      <x:c r="J44" s="72" t="str">
        <x:v>Warzywa + białko + spokojna porcja węgli.</x:v>
      </x:c>
      <x:c r="K44" s="72" t="str">
        <x:v>Lekko, prosto, sen ważniejszy niż idealne makro.</x:v>
      </x:c>
      <x:c r="L44" s="72"/>
      <x:c r="M44" s="72"/>
      <x:c r="N44" s="72"/>
      <x:c r="O44" s="72"/>
      <x:c r="P44" s="72"/>
      <x:c r="Q44" s="72" t="str">
        <x:v>Nie nadrabiaj zaległości. Regeneracja jest częścią planu.</x:v>
      </x:c>
      <x:c r="V44" s="227"/>
      <x:c r="W44" s="228"/>
      <x:c r="X44" s="226"/>
      <x:c r="Y44" s="229"/>
      <x:c r="Z44" s="227"/>
      <x:c r="AA44" s="226" t="str">
        <x:f>IF(AND(L44="",M44="",N44="",Z44=""),"",IF(OR(M44&gt;=5,N44&lt;6,L44&gt;=8),"CZERWONY",IF(OR(M44&gt;=3,N44&lt;6.5,L44&gt;=7,Z44&lt;=4),"ŻÓŁTY","OK")))</x:f>
      </x:c>
      <x:c r="AB44" s="226" t="str">
        <x:f>IF(AA44="","",IF(AA44="OK","Realizuj plan normalnie.",IF(AA44="ŻÓŁTY","Skróć 10-30% albo zamień akcent na easy.", "STOP mocne bodźce: wolne/basen/Tacx Z1 48-72 h.")))</x:f>
      </x:c>
    </x:row>
    <x:row r="45">
      <x:c r="A45" s="53" t="n">
        <x:v>46224</x:v>
      </x:c>
      <x:c r="B45" s="54" t="str">
        <x:v>Wtorek</x:v>
      </x:c>
      <x:c r="C45" s="54" t="str">
        <x:v>Tydzień 8 do Oslo</x:v>
      </x:c>
      <x:c r="D45" s="54" t="str">
        <x:v>Specyfika maratońska</x:v>
      </x:c>
      <x:c r="E45" s="54" t="str">
        <x:v>Bieg interwały</x:v>
      </x:c>
      <x:c r="F45" s="54" t="str">
        <x:v>2 km easy + 6x1 km 4:15-4:25/km / 2:30-3:00 trucht + schłodzenie.</x:v>
      </x:c>
      <x:c r="G45" s="54" t="str">
        <x:v>MOCNY</x:v>
      </x:c>
      <x:c r="H45" s="54" t="str">
        <x:v>Ekonomia i moc</x:v>
      </x:c>
      <x:c r="I45" s="54" t="str">
        <x:v>2-3 h przed: kleik/ryż/wafle + miód/dżem; mało tłuszczu i błonnika.</x:v>
      </x:c>
      <x:c r="J45" s="54" t="str">
        <x:v>Ryż/ziemniaki/kasza + lekkie białko + warzywa.</x:v>
      </x:c>
      <x:c r="K45" s="54" t="str">
        <x:v>Po: 20-35 g białka + węgle; elektrolity.</x:v>
      </x:c>
      <x:c r="L45" s="54"/>
      <x:c r="M45" s="54"/>
      <x:c r="N45" s="54"/>
      <x:c r="O45" s="54"/>
      <x:c r="P45" s="54"/>
      <x:c r="Q45" s="54" t="str">
        <x:v>Jeśli ból ≥3/10 lub sen &lt;6 h: zamień na easy 30-45 min albo basen.</x:v>
      </x:c>
      <x:c r="V45" s="227"/>
      <x:c r="W45" s="228"/>
      <x:c r="X45" s="226"/>
      <x:c r="Y45" s="229"/>
      <x:c r="Z45" s="227"/>
      <x:c r="AA45" s="226" t="str">
        <x:f>IF(AND(L45="",M45="",N45="",Z45=""),"",IF(OR(M45&gt;=5,N45&lt;6,L45&gt;=8),"CZERWONY",IF(OR(M45&gt;=3,N45&lt;6.5,L45&gt;=7,Z45&lt;=4),"ŻÓŁTY","OK")))</x:f>
      </x:c>
      <x:c r="AB45" s="226" t="str">
        <x:f>IF(AA45="","",IF(AA45="OK","Realizuj plan normalnie.",IF(AA45="ŻÓŁTY","Skróć 10-30% albo zamień akcent na easy.", "STOP mocne bodźce: wolne/basen/Tacx Z1 48-72 h.")))</x:f>
      </x:c>
    </x:row>
    <x:row r="46">
      <x:c r="A46" s="113" t="n">
        <x:v>46225</x:v>
      </x:c>
      <x:c r="B46" s="107" t="str">
        <x:v>Środa</x:v>
      </x:c>
      <x:c r="C46" s="107" t="str">
        <x:v>Tydzień 8 do Oslo</x:v>
      </x:c>
      <x:c r="D46" s="107" t="str">
        <x:v>Specyfika maratońska</x:v>
      </x:c>
      <x:c r="E46" s="107" t="str">
        <x:v>Tacx Z1/Z2</x:v>
      </x:c>
      <x:c r="F46" s="107" t="str">
        <x:v>55-70 min Z2 155-185 W, kadencja 90-95. Bez sweet spotu w Fazie 1.</x:v>
      </x:c>
      <x:c r="G46" s="107" t="str">
        <x:v>ŁATWY</x:v>
      </x:c>
      <x:c r="H46" s="107" t="str">
        <x:v>Tlen bez dobijania nóg</x:v>
      </x:c>
      <x:c r="I46" s="107" t="str">
        <x:v>Jajka lub jogurt/skyr + owoce; kawa spokojnie.</x:v>
      </x:c>
      <x:c r="J46" s="107" t="str">
        <x:v>Zupa/kasza/ryż + warzywa + białko; nawodnienie.</x:v>
      </x:c>
      <x:c r="K46" s="107" t="str">
        <x:v>Lekka kolacja: ryż/ziemniaki + ryba/tofu/jaja + warzywa.</x:v>
      </x:c>
      <x:c r="L46" s="107"/>
      <x:c r="M46" s="107"/>
      <x:c r="N46" s="107"/>
      <x:c r="O46" s="107"/>
      <x:c r="P46" s="107"/>
      <x:c r="Q46" s="107" t="str">
        <x:v>Jeśli nogi ciężkie: skróć o 20-30% i trzymaj Z1/Z2.</x:v>
      </x:c>
      <x:c r="V46" s="227"/>
      <x:c r="W46" s="228"/>
      <x:c r="X46" s="226"/>
      <x:c r="Y46" s="229"/>
      <x:c r="Z46" s="227"/>
      <x:c r="AA46" s="226" t="str">
        <x:f>IF(AND(L46="",M46="",N46="",Z46=""),"",IF(OR(M46&gt;=5,N46&lt;6,L46&gt;=8),"CZERWONY",IF(OR(M46&gt;=3,N46&lt;6.5,L46&gt;=7,Z46&lt;=4),"ŻÓŁTY","OK")))</x:f>
      </x:c>
      <x:c r="AB46" s="226" t="str">
        <x:f>IF(AA46="","",IF(AA46="OK","Realizuj plan normalnie.",IF(AA46="ŻÓŁTY","Skróć 10-30% albo zamień akcent na easy.", "STOP mocne bodźce: wolne/basen/Tacx Z1 48-72 h.")))</x:f>
      </x:c>
    </x:row>
    <x:row r="47">
      <x:c r="A47" s="77" t="n">
        <x:v>46226</x:v>
      </x:c>
      <x:c r="B47" s="78" t="str">
        <x:v>Czwartek</x:v>
      </x:c>
      <x:c r="C47" s="78" t="str">
        <x:v>Tydzień 8 do Oslo</x:v>
      </x:c>
      <x:c r="D47" s="78" t="str">
        <x:v>Specyfika maratońska</x:v>
      </x:c>
      <x:c r="E47" s="78" t="str">
        <x:v>Bieg easy + BASEN</x:v>
      </x:c>
      <x:c r="F47" s="78" t="str">
        <x:v>RANO: 6-9 km easy 5:40-6:05/km + 10-15 min mobility. WIECZÓR: 800-1200 m luźno.</x:v>
      </x:c>
      <x:c r="G47" s="78" t="str">
        <x:v>ŁATWY</x:v>
      </x:c>
      <x:c r="H47" s="78" t="str">
        <x:v>Objętość nisko-kosztowa</x:v>
      </x:c>
      <x:c r="I47" s="78" t="str">
        <x:v>Jajka lub jogurt/skyr + owoce; kawa spokojnie.</x:v>
      </x:c>
      <x:c r="J47" s="78" t="str">
        <x:v>Zupa/kasza/ryż + warzywa + białko; nawodnienie.</x:v>
      </x:c>
      <x:c r="K47" s="78" t="str">
        <x:v>Lekka kolacja: ryż/ziemniaki + ryba/tofu/jaja + warzywa.</x:v>
      </x:c>
      <x:c r="L47" s="78"/>
      <x:c r="M47" s="78"/>
      <x:c r="N47" s="78"/>
      <x:c r="O47" s="78"/>
      <x:c r="P47" s="78"/>
      <x:c r="Q47" s="78" t="str">
        <x:v>Jeśli nogi ciężkie: skróć o 20-30% i trzymaj Z1/Z2.</x:v>
      </x:c>
      <x:c r="V47" s="227"/>
      <x:c r="W47" s="228"/>
      <x:c r="X47" s="226"/>
      <x:c r="Y47" s="229"/>
      <x:c r="Z47" s="227"/>
      <x:c r="AA47" s="226" t="str">
        <x:f>IF(AND(L47="",M47="",N47="",Z47=""),"",IF(OR(M47&gt;=5,N47&lt;6,L47&gt;=8),"CZERWONY",IF(OR(M47&gt;=3,N47&lt;6.5,L47&gt;=7,Z47&lt;=4),"ŻÓŁTY","OK")))</x:f>
      </x:c>
      <x:c r="AB47" s="226" t="str">
        <x:f>IF(AA47="","",IF(AA47="OK","Realizuj plan normalnie.",IF(AA47="ŻÓŁTY","Skróć 10-30% albo zamień akcent na easy.", "STOP mocne bodźce: wolne/basen/Tacx Z1 48-72 h.")))</x:f>
      </x:c>
    </x:row>
    <x:row r="48">
      <x:c r="A48" s="77" t="n">
        <x:v>46227</x:v>
      </x:c>
      <x:c r="B48" s="78" t="str">
        <x:v>Piątek</x:v>
      </x:c>
      <x:c r="C48" s="78" t="str">
        <x:v>Tydzień 8 do Oslo</x:v>
      </x:c>
      <x:c r="D48" s="78" t="str">
        <x:v>Specyfika maratońska</x:v>
      </x:c>
      <x:c r="E48" s="78" t="str">
        <x:v>BASEN / WOLNE</x:v>
      </x:c>
      <x:c r="F48" s="78" t="str">
        <x:v>1000-1400 m technika lub WOLNE, jeśli stopa/łydka sygnalizuje zmęczenie.</x:v>
      </x:c>
      <x:c r="G48" s="78" t="str">
        <x:v>REGENERACJA</x:v>
      </x:c>
      <x:c r="H48" s="78" t="str">
        <x:v>Technika i regeneracja</x:v>
      </x:c>
      <x:c r="I48" s="78" t="str">
        <x:v>Normalne śniadanie, bez wymuszonego ładowania.</x:v>
      </x:c>
      <x:c r="J48" s="78" t="str">
        <x:v>Warzywa + białko + spokojna porcja węgli.</x:v>
      </x:c>
      <x:c r="K48" s="78" t="str">
        <x:v>Lekko, prosto, sen ważniejszy niż idealne makro.</x:v>
      </x:c>
      <x:c r="L48" s="78"/>
      <x:c r="M48" s="78"/>
      <x:c r="N48" s="78"/>
      <x:c r="O48" s="78"/>
      <x:c r="P48" s="78"/>
      <x:c r="Q48" s="78" t="str">
        <x:v>Nie nadrabiaj zaległości. Regeneracja jest częścią planu.</x:v>
      </x:c>
      <x:c r="V48" s="227"/>
      <x:c r="W48" s="228"/>
      <x:c r="X48" s="226"/>
      <x:c r="Y48" s="229"/>
      <x:c r="Z48" s="227"/>
      <x:c r="AA48" s="226" t="str">
        <x:f>IF(AND(L48="",M48="",N48="",Z48=""),"",IF(OR(M48&gt;=5,N48&lt;6,L48&gt;=8),"CZERWONY",IF(OR(M48&gt;=3,N48&lt;6.5,L48&gt;=7,Z48&lt;=4),"ŻÓŁTY","OK")))</x:f>
      </x:c>
      <x:c r="AB48" s="226" t="str">
        <x:f>IF(AA48="","",IF(AA48="OK","Realizuj plan normalnie.",IF(AA48="ŻÓŁTY","Skróć 10-30% albo zamień akcent na easy.", "STOP mocne bodźce: wolne/basen/Tacx Z1 48-72 h.")))</x:f>
      </x:c>
    </x:row>
    <x:row r="49">
      <x:c r="A49" s="65" t="n">
        <x:v>46228</x:v>
      </x:c>
      <x:c r="B49" s="66" t="str">
        <x:v>Sobota</x:v>
      </x:c>
      <x:c r="C49" s="66" t="str">
        <x:v>Tydzień 8 do Oslo</x:v>
      </x:c>
      <x:c r="D49" s="66" t="str">
        <x:v>Specyfika maratońska</x:v>
      </x:c>
      <x:c r="E49" s="66" t="str">
        <x:v>Bieg long z MP</x:v>
      </x:c>
      <x:c r="F49" s="66" t="str">
        <x:v>28 km: 8 km easy + 2x5 km MP 4:58-5:02/km / 2 km easy + reszta easy.</x:v>
      </x:c>
      <x:c r="G49" s="66" t="str">
        <x:v>LONG</x:v>
      </x:c>
      <x:c r="H49" s="66" t="str">
        <x:v>MP na zmęczeniu</x:v>
      </x:c>
      <x:c r="I49" s="66" t="str">
        <x:v>3 h przed: sprawdzony posiłek węglowodanowy; bez nowych produktów.</x:v>
      </x:c>
      <x:c r="J49" s="66" t="str">
        <x:v>Po treningu: ryż/ziemniaki + białko + sól/elektrolity.</x:v>
      </x:c>
      <x:c r="K49" s="66" t="str">
        <x:v>Kolacja regeneracyjna: węgle + białko + warzywa; uzupełnij płyny.</x:v>
      </x:c>
      <x:c r="L49" s="66"/>
      <x:c r="M49" s="66"/>
      <x:c r="N49" s="66"/>
      <x:c r="O49" s="66"/>
      <x:c r="P49" s="66"/>
      <x:c r="Q49" s="66" t="str">
        <x:v>Jeśli ból narasta lub RPE &gt;7 przed połową: skróć, nie nadrabiaj kilometrów.</x:v>
      </x:c>
      <x:c r="V49" s="227"/>
      <x:c r="W49" s="228"/>
      <x:c r="X49" s="226"/>
      <x:c r="Y49" s="229"/>
      <x:c r="Z49" s="227"/>
      <x:c r="AA49" s="226" t="str">
        <x:f>IF(AND(L49="",M49="",N49="",Z49=""),"",IF(OR(M49&gt;=5,N49&lt;6,L49&gt;=8),"CZERWONY",IF(OR(M49&gt;=3,N49&lt;6.5,L49&gt;=7,Z49&lt;=4),"ŻÓŁTY","OK")))</x:f>
      </x:c>
      <x:c r="AB49" s="226" t="str">
        <x:f>IF(AA49="","",IF(AA49="OK","Realizuj plan normalnie.",IF(AA49="ŻÓŁTY","Skróć 10-30% albo zamień akcent na easy.", "STOP mocne bodźce: wolne/basen/Tacx Z1 48-72 h.")))</x:f>
      </x:c>
    </x:row>
    <x:row r="50">
      <x:c r="A50" s="71" t="n">
        <x:v>46229</x:v>
      </x:c>
      <x:c r="B50" s="72" t="str">
        <x:v>Niedziela</x:v>
      </x:c>
      <x:c r="C50" s="72" t="str">
        <x:v>Tydzień 8 do Oslo</x:v>
      </x:c>
      <x:c r="D50" s="72" t="str">
        <x:v>Specyfika maratońska</x:v>
      </x:c>
      <x:c r="E50" s="72" t="str">
        <x:v>WOLNE / spacer</x:v>
      </x:c>
      <x:c r="F50" s="72" t="str">
        <x:v>Pełny odpoczynek lub spacer 20-40 min. Kontrola bólu 0-10.</x:v>
      </x:c>
      <x:c r="G50" s="72" t="str">
        <x:v>WOLNE</x:v>
      </x:c>
      <x:c r="H50" s="72" t="str">
        <x:v>Adaptacja</x:v>
      </x:c>
      <x:c r="I50" s="72" t="str">
        <x:v>Normalne śniadanie, bez wymuszonego ładowania.</x:v>
      </x:c>
      <x:c r="J50" s="72" t="str">
        <x:v>Warzywa + białko + spokojna porcja węgli.</x:v>
      </x:c>
      <x:c r="K50" s="72" t="str">
        <x:v>Lekko, prosto, sen ważniejszy niż idealne makro.</x:v>
      </x:c>
      <x:c r="L50" s="72"/>
      <x:c r="M50" s="72"/>
      <x:c r="N50" s="72"/>
      <x:c r="O50" s="72"/>
      <x:c r="P50" s="72"/>
      <x:c r="Q50" s="72" t="str">
        <x:v>Nie nadrabiaj zaległości. Regeneracja jest częścią planu.</x:v>
      </x:c>
      <x:c r="V50" s="227"/>
      <x:c r="W50" s="228"/>
      <x:c r="X50" s="226"/>
      <x:c r="Y50" s="229"/>
      <x:c r="Z50" s="227"/>
      <x:c r="AA50" s="226" t="str">
        <x:f>IF(AND(L50="",M50="",N50="",Z50=""),"",IF(OR(M50&gt;=5,N50&lt;6,L50&gt;=8),"CZERWONY",IF(OR(M50&gt;=3,N50&lt;6.5,L50&gt;=7,Z50&lt;=4),"ŻÓŁTY","OK")))</x:f>
      </x:c>
      <x:c r="AB50" s="226" t="str">
        <x:f>IF(AA50="","",IF(AA50="OK","Realizuj plan normalnie.",IF(AA50="ŻÓŁTY","Skróć 10-30% albo zamień akcent na easy.", "STOP mocne bodźce: wolne/basen/Tacx Z1 48-72 h.")))</x:f>
      </x:c>
    </x:row>
    <x:row r="51">
      <x:c r="A51" s="71" t="n">
        <x:v>46230</x:v>
      </x:c>
      <x:c r="B51" s="72" t="str">
        <x:v>Poniedziałek</x:v>
      </x:c>
      <x:c r="C51" s="72" t="str">
        <x:v>Tydzień 7 do Oslo</x:v>
      </x:c>
      <x:c r="D51" s="72" t="str">
        <x:v>Półmaraton testowy / symulacja</x:v>
      </x:c>
      <x:c r="E51" s="72" t="str">
        <x:v>WOLNE</x:v>
      </x:c>
      <x:c r="F51" s="72" t="str">
        <x:v>Dzień wolny. Mobilizacja bioder/łydek 10-15 min, sen, nawodnienie.</x:v>
      </x:c>
      <x:c r="G51" s="72" t="str">
        <x:v>WOLNE</x:v>
      </x:c>
      <x:c r="H51" s="72" t="str">
        <x:v>Regeneracja</x:v>
      </x:c>
      <x:c r="I51" s="72" t="str">
        <x:v>Normalne śniadanie, bez wymuszonego ładowania.</x:v>
      </x:c>
      <x:c r="J51" s="72" t="str">
        <x:v>Warzywa + białko + spokojna porcja węgli.</x:v>
      </x:c>
      <x:c r="K51" s="72" t="str">
        <x:v>Lekko, prosto, sen ważniejszy niż idealne makro.</x:v>
      </x:c>
      <x:c r="L51" s="72"/>
      <x:c r="M51" s="72"/>
      <x:c r="N51" s="72"/>
      <x:c r="O51" s="72"/>
      <x:c r="P51" s="72"/>
      <x:c r="Q51" s="72" t="str">
        <x:v>Nie nadrabiaj zaległości. Regeneracja jest częścią planu.</x:v>
      </x:c>
      <x:c r="V51" s="227"/>
      <x:c r="W51" s="228"/>
      <x:c r="X51" s="226"/>
      <x:c r="Y51" s="229"/>
      <x:c r="Z51" s="227"/>
      <x:c r="AA51" s="226" t="str">
        <x:f>IF(AND(L51="",M51="",N51="",Z51=""),"",IF(OR(M51&gt;=5,N51&lt;6,L51&gt;=8),"CZERWONY",IF(OR(M51&gt;=3,N51&lt;6.5,L51&gt;=7,Z51&lt;=4),"ŻÓŁTY","OK")))</x:f>
      </x:c>
      <x:c r="AB51" s="226" t="str">
        <x:f>IF(AA51="","",IF(AA51="OK","Realizuj plan normalnie.",IF(AA51="ŻÓŁTY","Skróć 10-30% albo zamień akcent na easy.", "STOP mocne bodźce: wolne/basen/Tacx Z1 48-72 h.")))</x:f>
      </x:c>
    </x:row>
    <x:row r="52">
      <x:c r="A52" s="53" t="n">
        <x:v>46231</x:v>
      </x:c>
      <x:c r="B52" s="54" t="str">
        <x:v>Wtorek</x:v>
      </x:c>
      <x:c r="C52" s="54" t="str">
        <x:v>Tydzień 7 do Oslo</x:v>
      </x:c>
      <x:c r="D52" s="54" t="str">
        <x:v>Półmaraton testowy / symulacja</x:v>
      </x:c>
      <x:c r="E52" s="54" t="str">
        <x:v>Bieg easy + przebieżki</x:v>
      </x:c>
      <x:c r="F52" s="54" t="str">
        <x:v>8 km easy + 6x20 s rytmy. Bez zmęczenia przed testem HM.</x:v>
      </x:c>
      <x:c r="G52" s="54" t="str">
        <x:v>ŁATWY</x:v>
      </x:c>
      <x:c r="H52" s="54" t="str">
        <x:v>Podtrzymanie rytmu</x:v>
      </x:c>
      <x:c r="I52" s="54" t="str">
        <x:v>Jajka lub jogurt/skyr + owoce; kawa spokojnie.</x:v>
      </x:c>
      <x:c r="J52" s="54" t="str">
        <x:v>Zupa/kasza/ryż + warzywa + białko; nawodnienie.</x:v>
      </x:c>
      <x:c r="K52" s="54" t="str">
        <x:v>Lekka kolacja: ryż/ziemniaki + ryba/tofu/jaja + warzywa.</x:v>
      </x:c>
      <x:c r="L52" s="54"/>
      <x:c r="M52" s="54"/>
      <x:c r="N52" s="54"/>
      <x:c r="O52" s="54"/>
      <x:c r="P52" s="54"/>
      <x:c r="Q52" s="54" t="str">
        <x:v>Jeśli nogi ciężkie: skróć o 20-30% i trzymaj Z1/Z2.</x:v>
      </x:c>
      <x:c r="V52" s="227"/>
      <x:c r="W52" s="228"/>
      <x:c r="X52" s="226"/>
      <x:c r="Y52" s="229"/>
      <x:c r="Z52" s="227"/>
      <x:c r="AA52" s="226" t="str">
        <x:f>IF(AND(L52="",M52="",N52="",Z52=""),"",IF(OR(M52&gt;=5,N52&lt;6,L52&gt;=8),"CZERWONY",IF(OR(M52&gt;=3,N52&lt;6.5,L52&gt;=7,Z52&lt;=4),"ŻÓŁTY","OK")))</x:f>
      </x:c>
      <x:c r="AB52" s="226" t="str">
        <x:f>IF(AA52="","",IF(AA52="OK","Realizuj plan normalnie.",IF(AA52="ŻÓŁTY","Skróć 10-30% albo zamień akcent na easy.", "STOP mocne bodźce: wolne/basen/Tacx Z1 48-72 h.")))</x:f>
      </x:c>
    </x:row>
    <x:row r="53">
      <x:c r="A53" s="53" t="n">
        <x:v>46232</x:v>
      </x:c>
      <x:c r="B53" s="54" t="str">
        <x:v>Środa</x:v>
      </x:c>
      <x:c r="C53" s="54" t="str">
        <x:v>Tydzień 7 do Oslo</x:v>
      </x:c>
      <x:c r="D53" s="54" t="str">
        <x:v>Półmaraton testowy / symulacja</x:v>
      </x:c>
      <x:c r="E53" s="54" t="str">
        <x:v>Tacx Z1/Z2</x:v>
      </x:c>
      <x:c r="F53" s="54" t="str">
        <x:v>40-50 min luźno Z1/Z2 140-165 W. Regeneracja, nie trening mocy.</x:v>
      </x:c>
      <x:c r="G53" s="54" t="str">
        <x:v>REGENERACJA</x:v>
      </x:c>
      <x:c r="H53" s="54" t="str">
        <x:v>Tlen bez dobijania nóg</x:v>
      </x:c>
      <x:c r="I53" s="54" t="str">
        <x:v>Normalne śniadanie, bez wymuszonego ładowania.</x:v>
      </x:c>
      <x:c r="J53" s="54" t="str">
        <x:v>Warzywa + białko + spokojna porcja węgli.</x:v>
      </x:c>
      <x:c r="K53" s="54" t="str">
        <x:v>Lekko, prosto, sen ważniejszy niż idealne makro.</x:v>
      </x:c>
      <x:c r="L53" s="54"/>
      <x:c r="M53" s="54"/>
      <x:c r="N53" s="54"/>
      <x:c r="O53" s="54"/>
      <x:c r="P53" s="54"/>
      <x:c r="Q53" s="54" t="str">
        <x:v>Nie nadrabiaj zaległości. Regeneracja jest częścią planu.</x:v>
      </x:c>
      <x:c r="V53" s="227"/>
      <x:c r="W53" s="228"/>
      <x:c r="X53" s="226"/>
      <x:c r="Y53" s="229"/>
      <x:c r="Z53" s="227"/>
      <x:c r="AA53" s="226" t="str">
        <x:f>IF(AND(L53="",M53="",N53="",Z53=""),"",IF(OR(M53&gt;=5,N53&lt;6,L53&gt;=8),"CZERWONY",IF(OR(M53&gt;=3,N53&lt;6.5,L53&gt;=7,Z53&lt;=4),"ŻÓŁTY","OK")))</x:f>
      </x:c>
      <x:c r="AB53" s="226" t="str">
        <x:f>IF(AA53="","",IF(AA53="OK","Realizuj plan normalnie.",IF(AA53="ŻÓŁTY","Skróć 10-30% albo zamień akcent na easy.", "STOP mocne bodźce: wolne/basen/Tacx Z1 48-72 h.")))</x:f>
      </x:c>
    </x:row>
    <x:row r="54">
      <x:c r="A54" s="53" t="n">
        <x:v>46233</x:v>
      </x:c>
      <x:c r="B54" s="54" t="str">
        <x:v>Czwartek</x:v>
      </x:c>
      <x:c r="C54" s="54" t="str">
        <x:v>Tydzień 7 do Oslo</x:v>
      </x:c>
      <x:c r="D54" s="54" t="str">
        <x:v>Półmaraton testowy / symulacja</x:v>
      </x:c>
      <x:c r="E54" s="54" t="str">
        <x:v>Bieg easy + BASEN</x:v>
      </x:c>
      <x:c r="F54" s="54" t="str">
        <x:v>RANO: 6-9 km easy 5:40-6:05/km + 10-15 min mobility. WIECZÓR: 800-1200 m luźno.</x:v>
      </x:c>
      <x:c r="G54" s="54" t="str">
        <x:v>ŁATWY</x:v>
      </x:c>
      <x:c r="H54" s="54" t="str">
        <x:v>Objętość nisko-kosztowa</x:v>
      </x:c>
      <x:c r="I54" s="54" t="str">
        <x:v>Jajka lub jogurt/skyr + owoce; kawa spokojnie.</x:v>
      </x:c>
      <x:c r="J54" s="54" t="str">
        <x:v>Zupa/kasza/ryż + warzywa + białko; nawodnienie.</x:v>
      </x:c>
      <x:c r="K54" s="54" t="str">
        <x:v>Lekka kolacja: ryż/ziemniaki + ryba/tofu/jaja + warzywa.</x:v>
      </x:c>
      <x:c r="L54" s="54"/>
      <x:c r="M54" s="54"/>
      <x:c r="N54" s="54"/>
      <x:c r="O54" s="54"/>
      <x:c r="P54" s="54"/>
      <x:c r="Q54" s="54" t="str">
        <x:v>Jeśli nogi ciężkie: skróć o 20-30% i trzymaj Z1/Z2.</x:v>
      </x:c>
      <x:c r="V54" s="227"/>
      <x:c r="W54" s="228"/>
      <x:c r="X54" s="226"/>
      <x:c r="Y54" s="229"/>
      <x:c r="Z54" s="227"/>
      <x:c r="AA54" s="226" t="str">
        <x:f>IF(AND(L54="",M54="",N54="",Z54=""),"",IF(OR(M54&gt;=5,N54&lt;6,L54&gt;=8),"CZERWONY",IF(OR(M54&gt;=3,N54&lt;6.5,L54&gt;=7,Z54&lt;=4),"ŻÓŁTY","OK")))</x:f>
      </x:c>
      <x:c r="AB54" s="226" t="str">
        <x:f>IF(AA54="","",IF(AA54="OK","Realizuj plan normalnie.",IF(AA54="ŻÓŁTY","Skróć 10-30% albo zamień akcent na easy.", "STOP mocne bodźce: wolne/basen/Tacx Z1 48-72 h.")))</x:f>
      </x:c>
    </x:row>
    <x:row r="55">
      <x:c r="A55" s="53" t="n">
        <x:v>46234</x:v>
      </x:c>
      <x:c r="B55" s="54" t="str">
        <x:v>Piątek</x:v>
      </x:c>
      <x:c r="C55" s="54" t="str">
        <x:v>Tydzień 7 do Oslo</x:v>
      </x:c>
      <x:c r="D55" s="54" t="str">
        <x:v>Półmaraton testowy / symulacja</x:v>
      </x:c>
      <x:c r="E55" s="54" t="str">
        <x:v>BASEN / WOLNE</x:v>
      </x:c>
      <x:c r="F55" s="54" t="str">
        <x:v>1000-1400 m technika lub WOLNE, jeśli stopa/łydka sygnalizuje zmęczenie.</x:v>
      </x:c>
      <x:c r="G55" s="54" t="str">
        <x:v>REGENERACJA</x:v>
      </x:c>
      <x:c r="H55" s="54" t="str">
        <x:v>Technika i regeneracja</x:v>
      </x:c>
      <x:c r="I55" s="54" t="str">
        <x:v>Normalne śniadanie, bez wymuszonego ładowania.</x:v>
      </x:c>
      <x:c r="J55" s="54" t="str">
        <x:v>Warzywa + białko + spokojna porcja węgli.</x:v>
      </x:c>
      <x:c r="K55" s="54" t="str">
        <x:v>Lekko, prosto, sen ważniejszy niż idealne makro.</x:v>
      </x:c>
      <x:c r="L55" s="54"/>
      <x:c r="M55" s="54"/>
      <x:c r="N55" s="54"/>
      <x:c r="O55" s="54"/>
      <x:c r="P55" s="54"/>
      <x:c r="Q55" s="54" t="str">
        <x:v>Nie nadrabiaj zaległości. Regeneracja jest częścią planu.</x:v>
      </x:c>
      <x:c r="V55" s="227"/>
      <x:c r="W55" s="228"/>
      <x:c r="X55" s="226"/>
      <x:c r="Y55" s="229"/>
      <x:c r="Z55" s="227"/>
      <x:c r="AA55" s="226" t="str">
        <x:f>IF(AND(L55="",M55="",N55="",Z55=""),"",IF(OR(M55&gt;=5,N55&lt;6,L55&gt;=8),"CZERWONY",IF(OR(M55&gt;=3,N55&lt;6.5,L55&gt;=7,Z55&lt;=4),"ŻÓŁTY","OK")))</x:f>
      </x:c>
      <x:c r="AB55" s="226" t="str">
        <x:f>IF(AA55="","",IF(AA55="OK","Realizuj plan normalnie.",IF(AA55="ŻÓŁTY","Skróć 10-30% albo zamień akcent na easy.", "STOP mocne bodźce: wolne/basen/Tacx Z1 48-72 h.")))</x:f>
      </x:c>
    </x:row>
    <x:row r="56" ht="26" customHeight="1">
      <x:c r="A56" s="148" t="n">
        <x:v>46235</x:v>
      </x:c>
      <x:c r="B56" s="149" t="str">
        <x:v>Sobota</x:v>
      </x:c>
      <x:c r="C56" s="149" t="str">
        <x:v>Tydzień 7 do Oslo</x:v>
      </x:c>
      <x:c r="D56" s="154" t="str">
        <x:v>Półmaraton testowy / symulacja</x:v>
      </x:c>
      <x:c r="E56" s="154" t="str">
        <x:v>TEST PÓŁMARATOŃSKI / 21,1 km</x:v>
      </x:c>
      <x:c r="F56" s="154" t="str">
        <x:v>Opcja A: start kontrolny HM 1:42-1:45. Opcja B solo: 3 km easy + 15 km 4:55-5:05/km + 3 km easy. Zastępuje long run.</x:v>
      </x:c>
      <x:c r="G56" s="154" t="str">
        <x:v>TEST/START</x:v>
      </x:c>
      <x:c r="H56" s="154" t="str">
        <x:v>Próba paliwa i tempa</x:v>
      </x:c>
      <x:c r="I56" s="154" t="str">
        <x:v>3 h przed: sprawdzony posiłek węglowodanowy; bez nowych produktów.</x:v>
      </x:c>
      <x:c r="J56" s="154" t="str">
        <x:v>Po treningu: ryż/ziemniaki + białko + sól/elektrolity.</x:v>
      </x:c>
      <x:c r="K56" s="154" t="str">
        <x:v>Kolacja regeneracyjna: węgle + białko + warzywa; uzupełnij płyny.</x:v>
      </x:c>
      <x:c r="L56" s="154"/>
      <x:c r="M56" s="154"/>
      <x:c r="N56" s="154"/>
      <x:c r="O56" s="154"/>
      <x:c r="P56" s="154"/>
      <x:c r="Q56" s="154" t="str">
        <x:v>Jeśli ból ≥3/10 lub sen &lt;6 h: zamień na easy 30-45 min albo basen.</x:v>
      </x:c>
      <x:c r="R56" s="136" t="str">
        <x:v>SIERPIEŃ 2026</x:v>
      </x:c>
      <x:c r="V56" s="227"/>
      <x:c r="W56" s="228"/>
      <x:c r="X56" s="226"/>
      <x:c r="Y56" s="229"/>
      <x:c r="Z56" s="227"/>
      <x:c r="AA56" s="226" t="str">
        <x:f>IF(AND(L56="",M56="",N56="",Z56=""),"",IF(OR(M56&gt;=5,N56&lt;6,L56&gt;=8),"CZERWONY",IF(OR(M56&gt;=3,N56&lt;6.5,L56&gt;=7,Z56&lt;=4),"ŻÓŁTY","OK")))</x:f>
      </x:c>
      <x:c r="AB56" s="226" t="str">
        <x:f>IF(AA56="","",IF(AA56="OK","Realizuj plan normalnie.",IF(AA56="ŻÓŁTY","Skróć 10-30% albo zamień akcent na easy.", "STOP mocne bodźce: wolne/basen/Tacx Z1 48-72 h.")))</x:f>
      </x:c>
    </x:row>
    <x:row r="57">
      <x:c r="A57" s="71" t="n">
        <x:v>46236</x:v>
      </x:c>
      <x:c r="B57" s="72" t="str">
        <x:v>Niedziela</x:v>
      </x:c>
      <x:c r="C57" s="72" t="str">
        <x:v>Tydzień 7 do Oslo</x:v>
      </x:c>
      <x:c r="D57" s="72" t="str">
        <x:v>Półmaraton testowy / symulacja</x:v>
      </x:c>
      <x:c r="E57" s="72" t="str">
        <x:v>WOLNE / spacer</x:v>
      </x:c>
      <x:c r="F57" s="72" t="str">
        <x:v>Pełny odpoczynek lub spacer 20-40 min. Kontrola bólu 0-10.</x:v>
      </x:c>
      <x:c r="G57" s="72" t="str">
        <x:v>WOLNE</x:v>
      </x:c>
      <x:c r="H57" s="72" t="str">
        <x:v>Adaptacja</x:v>
      </x:c>
      <x:c r="I57" s="72" t="str">
        <x:v>Normalne śniadanie, bez wymuszonego ładowania.</x:v>
      </x:c>
      <x:c r="J57" s="72" t="str">
        <x:v>Warzywa + białko + spokojna porcja węgli.</x:v>
      </x:c>
      <x:c r="K57" s="72" t="str">
        <x:v>Lekko, prosto, sen ważniejszy niż idealne makro.</x:v>
      </x:c>
      <x:c r="L57" s="72"/>
      <x:c r="M57" s="72"/>
      <x:c r="N57" s="72"/>
      <x:c r="O57" s="72"/>
      <x:c r="P57" s="72"/>
      <x:c r="Q57" s="72" t="str">
        <x:v>Nie nadrabiaj zaległości. Regeneracja jest częścią planu.</x:v>
      </x:c>
      <x:c r="V57" s="227"/>
      <x:c r="W57" s="228"/>
      <x:c r="X57" s="226"/>
      <x:c r="Y57" s="229"/>
      <x:c r="Z57" s="227"/>
      <x:c r="AA57" s="226" t="str">
        <x:f>IF(AND(L57="",M57="",N57="",Z57=""),"",IF(OR(M57&gt;=5,N57&lt;6,L57&gt;=8),"CZERWONY",IF(OR(M57&gt;=3,N57&lt;6.5,L57&gt;=7,Z57&lt;=4),"ŻÓŁTY","OK")))</x:f>
      </x:c>
      <x:c r="AB57" s="226" t="str">
        <x:f>IF(AA57="","",IF(AA57="OK","Realizuj plan normalnie.",IF(AA57="ŻÓŁTY","Skróć 10-30% albo zamień akcent na easy.", "STOP mocne bodźce: wolne/basen/Tacx Z1 48-72 h.")))</x:f>
      </x:c>
    </x:row>
    <x:row r="58">
      <x:c r="A58" s="71" t="n">
        <x:v>46237</x:v>
      </x:c>
      <x:c r="B58" s="72" t="str">
        <x:v>Poniedziałek</x:v>
      </x:c>
      <x:c r="C58" s="72" t="str">
        <x:v>Tydzień 6 do Oslo</x:v>
      </x:c>
      <x:c r="D58" s="72" t="str">
        <x:v>Najmocniejszy blok specyficzny</x:v>
      </x:c>
      <x:c r="E58" s="72" t="str">
        <x:v>WOLNE</x:v>
      </x:c>
      <x:c r="F58" s="72" t="str">
        <x:v>Dzień wolny. Mobilizacja bioder/łydek 10-15 min, sen, nawodnienie.</x:v>
      </x:c>
      <x:c r="G58" s="72" t="str">
        <x:v>WOLNE</x:v>
      </x:c>
      <x:c r="H58" s="72" t="str">
        <x:v>Regeneracja</x:v>
      </x:c>
      <x:c r="I58" s="72" t="str">
        <x:v>Normalne śniadanie, bez wymuszonego ładowania.</x:v>
      </x:c>
      <x:c r="J58" s="72" t="str">
        <x:v>Warzywa + białko + spokojna porcja węgli.</x:v>
      </x:c>
      <x:c r="K58" s="72" t="str">
        <x:v>Lekko, prosto, sen ważniejszy niż idealne makro.</x:v>
      </x:c>
      <x:c r="L58" s="72"/>
      <x:c r="M58" s="72"/>
      <x:c r="N58" s="72"/>
      <x:c r="O58" s="72"/>
      <x:c r="P58" s="72"/>
      <x:c r="Q58" s="72" t="str">
        <x:v>Nie nadrabiaj zaległości. Regeneracja jest częścią planu.</x:v>
      </x:c>
      <x:c r="V58" s="227"/>
      <x:c r="W58" s="228"/>
      <x:c r="X58" s="226"/>
      <x:c r="Y58" s="229"/>
      <x:c r="Z58" s="227"/>
      <x:c r="AA58" s="226" t="str">
        <x:f>IF(AND(L58="",M58="",N58="",Z58=""),"",IF(OR(M58&gt;=5,N58&lt;6,L58&gt;=8),"CZERWONY",IF(OR(M58&gt;=3,N58&lt;6.5,L58&gt;=7,Z58&lt;=4),"ŻÓŁTY","OK")))</x:f>
      </x:c>
      <x:c r="AB58" s="226" t="str">
        <x:f>IF(AA58="","",IF(AA58="OK","Realizuj plan normalnie.",IF(AA58="ŻÓŁTY","Skróć 10-30% albo zamień akcent na easy.", "STOP mocne bodźce: wolne/basen/Tacx Z1 48-72 h.")))</x:f>
      </x:c>
    </x:row>
    <x:row r="59">
      <x:c r="A59" s="53" t="n">
        <x:v>46238</x:v>
      </x:c>
      <x:c r="B59" s="54" t="str">
        <x:v>Wtorek</x:v>
      </x:c>
      <x:c r="C59" s="54" t="str">
        <x:v>Tydzień 6 do Oslo</x:v>
      </x:c>
      <x:c r="D59" s="54" t="str">
        <x:v>Najmocniejszy blok specyficzny</x:v>
      </x:c>
      <x:c r="E59" s="54" t="str">
        <x:v>Bieg 4x2 km</x:v>
      </x:c>
      <x:c r="F59" s="54" t="str">
        <x:v>2 km easy + 4x2 km 4:45-4:55/km / 1 km easy + schłodzenie.</x:v>
      </x:c>
      <x:c r="G59" s="54" t="str">
        <x:v>MP/RACE PACE</x:v>
      </x:c>
      <x:c r="H59" s="54" t="str">
        <x:v>Praca blisko MP</x:v>
      </x:c>
      <x:c r="I59" s="54" t="str">
        <x:v>2-3 h przed: kleik/ryż/wafle + miód/dżem; mało tłuszczu i błonnika.</x:v>
      </x:c>
      <x:c r="J59" s="54" t="str">
        <x:v>Ryż/ziemniaki/kasza + lekkie białko + warzywa.</x:v>
      </x:c>
      <x:c r="K59" s="54" t="str">
        <x:v>Po: 20-35 g białka + węgle; elektrolity.</x:v>
      </x:c>
      <x:c r="L59" s="54"/>
      <x:c r="M59" s="54"/>
      <x:c r="N59" s="54"/>
      <x:c r="O59" s="54"/>
      <x:c r="P59" s="54"/>
      <x:c r="Q59" s="54" t="str">
        <x:v>Jeśli ból ≥3/10 lub sen &lt;6 h: zamień na easy 30-45 min albo basen.</x:v>
      </x:c>
      <x:c r="V59" s="227"/>
      <x:c r="W59" s="228"/>
      <x:c r="X59" s="226"/>
      <x:c r="Y59" s="229"/>
      <x:c r="Z59" s="227"/>
      <x:c r="AA59" s="226" t="str">
        <x:f>IF(AND(L59="",M59="",N59="",Z59=""),"",IF(OR(M59&gt;=5,N59&lt;6,L59&gt;=8),"CZERWONY",IF(OR(M59&gt;=3,N59&lt;6.5,L59&gt;=7,Z59&lt;=4),"ŻÓŁTY","OK")))</x:f>
      </x:c>
      <x:c r="AB59" s="226" t="str">
        <x:f>IF(AA59="","",IF(AA59="OK","Realizuj plan normalnie.",IF(AA59="ŻÓŁTY","Skróć 10-30% albo zamień akcent na easy.", "STOP mocne bodźce: wolne/basen/Tacx Z1 48-72 h.")))</x:f>
      </x:c>
    </x:row>
    <x:row r="60">
      <x:c r="A60" s="113" t="n">
        <x:v>46239</x:v>
      </x:c>
      <x:c r="B60" s="107" t="str">
        <x:v>Środa</x:v>
      </x:c>
      <x:c r="C60" s="107" t="str">
        <x:v>Tydzień 6 do Oslo</x:v>
      </x:c>
      <x:c r="D60" s="107" t="str">
        <x:v>Najmocniejszy blok specyficzny</x:v>
      </x:c>
      <x:c r="E60" s="107" t="str">
        <x:v>Tacx Z1/Z2</x:v>
      </x:c>
      <x:c r="F60" s="107" t="str">
        <x:v>55-70 min Z2 155-185 W, kadencja 90-95. Bez sweet spotu w Fazie 1.</x:v>
      </x:c>
      <x:c r="G60" s="107" t="str">
        <x:v>ŁATWY</x:v>
      </x:c>
      <x:c r="H60" s="107" t="str">
        <x:v>Tlen bez dobijania nóg</x:v>
      </x:c>
      <x:c r="I60" s="107" t="str">
        <x:v>Jajka lub jogurt/skyr + owoce; kawa spokojnie.</x:v>
      </x:c>
      <x:c r="J60" s="107" t="str">
        <x:v>Zupa/kasza/ryż + warzywa + białko; nawodnienie.</x:v>
      </x:c>
      <x:c r="K60" s="107" t="str">
        <x:v>Lekka kolacja: ryż/ziemniaki + ryba/tofu/jaja + warzywa.</x:v>
      </x:c>
      <x:c r="L60" s="107"/>
      <x:c r="M60" s="107"/>
      <x:c r="N60" s="107"/>
      <x:c r="O60" s="107"/>
      <x:c r="P60" s="107"/>
      <x:c r="Q60" s="107" t="str">
        <x:v>Jeśli nogi ciężkie: skróć o 20-30% i trzymaj Z1/Z2.</x:v>
      </x:c>
      <x:c r="V60" s="227"/>
      <x:c r="W60" s="228"/>
      <x:c r="X60" s="226"/>
      <x:c r="Y60" s="229"/>
      <x:c r="Z60" s="227"/>
      <x:c r="AA60" s="226" t="str">
        <x:f>IF(AND(L60="",M60="",N60="",Z60=""),"",IF(OR(M60&gt;=5,N60&lt;6,L60&gt;=8),"CZERWONY",IF(OR(M60&gt;=3,N60&lt;6.5,L60&gt;=7,Z60&lt;=4),"ŻÓŁTY","OK")))</x:f>
      </x:c>
      <x:c r="AB60" s="226" t="str">
        <x:f>IF(AA60="","",IF(AA60="OK","Realizuj plan normalnie.",IF(AA60="ŻÓŁTY","Skróć 10-30% albo zamień akcent na easy.", "STOP mocne bodźce: wolne/basen/Tacx Z1 48-72 h.")))</x:f>
      </x:c>
    </x:row>
    <x:row r="61">
      <x:c r="A61" s="77" t="n">
        <x:v>46240</x:v>
      </x:c>
      <x:c r="B61" s="78" t="str">
        <x:v>Czwartek</x:v>
      </x:c>
      <x:c r="C61" s="78" t="str">
        <x:v>Tydzień 6 do Oslo</x:v>
      </x:c>
      <x:c r="D61" s="78" t="str">
        <x:v>Najmocniejszy blok specyficzny</x:v>
      </x:c>
      <x:c r="E61" s="78" t="str">
        <x:v>Bieg easy + BASEN</x:v>
      </x:c>
      <x:c r="F61" s="78" t="str">
        <x:v>RANO: 6-9 km easy 5:40-6:05/km + 10-15 min mobility. WIECZÓR: 800-1200 m luźno.</x:v>
      </x:c>
      <x:c r="G61" s="78" t="str">
        <x:v>ŁATWY</x:v>
      </x:c>
      <x:c r="H61" s="78" t="str">
        <x:v>Objętość nisko-kosztowa</x:v>
      </x:c>
      <x:c r="I61" s="78" t="str">
        <x:v>Jajka lub jogurt/skyr + owoce; kawa spokojnie.</x:v>
      </x:c>
      <x:c r="J61" s="78" t="str">
        <x:v>Zupa/kasza/ryż + warzywa + białko; nawodnienie.</x:v>
      </x:c>
      <x:c r="K61" s="78" t="str">
        <x:v>Lekka kolacja: ryż/ziemniaki + ryba/tofu/jaja + warzywa.</x:v>
      </x:c>
      <x:c r="L61" s="78"/>
      <x:c r="M61" s="78"/>
      <x:c r="N61" s="78"/>
      <x:c r="O61" s="78"/>
      <x:c r="P61" s="78"/>
      <x:c r="Q61" s="78" t="str">
        <x:v>Jeśli nogi ciężkie: skróć o 20-30% i trzymaj Z1/Z2.</x:v>
      </x:c>
      <x:c r="V61" s="227"/>
      <x:c r="W61" s="228"/>
      <x:c r="X61" s="226"/>
      <x:c r="Y61" s="229"/>
      <x:c r="Z61" s="227"/>
      <x:c r="AA61" s="226" t="str">
        <x:f>IF(AND(L61="",M61="",N61="",Z61=""),"",IF(OR(M61&gt;=5,N61&lt;6,L61&gt;=8),"CZERWONY",IF(OR(M61&gt;=3,N61&lt;6.5,L61&gt;=7,Z61&lt;=4),"ŻÓŁTY","OK")))</x:f>
      </x:c>
      <x:c r="AB61" s="226" t="str">
        <x:f>IF(AA61="","",IF(AA61="OK","Realizuj plan normalnie.",IF(AA61="ŻÓŁTY","Skróć 10-30% albo zamień akcent na easy.", "STOP mocne bodźce: wolne/basen/Tacx Z1 48-72 h.")))</x:f>
      </x:c>
    </x:row>
    <x:row r="62">
      <x:c r="A62" s="77" t="n">
        <x:v>46241</x:v>
      </x:c>
      <x:c r="B62" s="78" t="str">
        <x:v>Piątek</x:v>
      </x:c>
      <x:c r="C62" s="78" t="str">
        <x:v>Tydzień 6 do Oslo</x:v>
      </x:c>
      <x:c r="D62" s="78" t="str">
        <x:v>Najmocniejszy blok specyficzny</x:v>
      </x:c>
      <x:c r="E62" s="78" t="str">
        <x:v>BASEN / WOLNE</x:v>
      </x:c>
      <x:c r="F62" s="78" t="str">
        <x:v>1000-1400 m technika lub WOLNE, jeśli stopa/łydka sygnalizuje zmęczenie.</x:v>
      </x:c>
      <x:c r="G62" s="78" t="str">
        <x:v>REGENERACJA</x:v>
      </x:c>
      <x:c r="H62" s="78" t="str">
        <x:v>Technika i regeneracja</x:v>
      </x:c>
      <x:c r="I62" s="78" t="str">
        <x:v>Normalne śniadanie, bez wymuszonego ładowania.</x:v>
      </x:c>
      <x:c r="J62" s="78" t="str">
        <x:v>Warzywa + białko + spokojna porcja węgli.</x:v>
      </x:c>
      <x:c r="K62" s="78" t="str">
        <x:v>Lekko, prosto, sen ważniejszy niż idealne makro.</x:v>
      </x:c>
      <x:c r="L62" s="78"/>
      <x:c r="M62" s="78"/>
      <x:c r="N62" s="78"/>
      <x:c r="O62" s="78"/>
      <x:c r="P62" s="78"/>
      <x:c r="Q62" s="78" t="str">
        <x:v>Nie nadrabiaj zaległości. Regeneracja jest częścią planu.</x:v>
      </x:c>
      <x:c r="V62" s="227"/>
      <x:c r="W62" s="228"/>
      <x:c r="X62" s="226"/>
      <x:c r="Y62" s="229"/>
      <x:c r="Z62" s="227"/>
      <x:c r="AA62" s="226" t="str">
        <x:f>IF(AND(L62="",M62="",N62="",Z62=""),"",IF(OR(M62&gt;=5,N62&lt;6,L62&gt;=8),"CZERWONY",IF(OR(M62&gt;=3,N62&lt;6.5,L62&gt;=7,Z62&lt;=4),"ŻÓŁTY","OK")))</x:f>
      </x:c>
      <x:c r="AB62" s="226" t="str">
        <x:f>IF(AA62="","",IF(AA62="OK","Realizuj plan normalnie.",IF(AA62="ŻÓŁTY","Skróć 10-30% albo zamień akcent na easy.", "STOP mocne bodźce: wolne/basen/Tacx Z1 48-72 h.")))</x:f>
      </x:c>
    </x:row>
    <x:row r="63">
      <x:c r="A63" s="65" t="n">
        <x:v>46242</x:v>
      </x:c>
      <x:c r="B63" s="66" t="str">
        <x:v>Sobota</x:v>
      </x:c>
      <x:c r="C63" s="66" t="str">
        <x:v>Tydzień 6 do Oslo</x:v>
      </x:c>
      <x:c r="D63" s="66" t="str">
        <x:v>Najmocniejszy blok specyficzny</x:v>
      </x:c>
      <x:c r="E63" s="66" t="str">
        <x:v>Bieg long z MP</x:v>
      </x:c>
      <x:c r="F63" s="66" t="str">
        <x:v>30 km: 10 km easy + 10 km MP 4:58-5:02/km + 10 km easy. Test pełnego żywienia.</x:v>
      </x:c>
      <x:c r="G63" s="66" t="str">
        <x:v>LONG</x:v>
      </x:c>
      <x:c r="H63" s="66" t="str">
        <x:v>Kluczowa specyfika</x:v>
      </x:c>
      <x:c r="I63" s="66" t="str">
        <x:v>3 h przed: sprawdzony posiłek węglowodanowy; bez nowych produktów.</x:v>
      </x:c>
      <x:c r="J63" s="66" t="str">
        <x:v>Po treningu: ryż/ziemniaki + białko + sól/elektrolity.</x:v>
      </x:c>
      <x:c r="K63" s="66" t="str">
        <x:v>Kolacja regeneracyjna: węgle + białko + warzywa; uzupełnij płyny.</x:v>
      </x:c>
      <x:c r="L63" s="66"/>
      <x:c r="M63" s="66"/>
      <x:c r="N63" s="66"/>
      <x:c r="O63" s="66"/>
      <x:c r="P63" s="66"/>
      <x:c r="Q63" s="66" t="str">
        <x:v>Jeśli ból narasta lub RPE &gt;7 przed połową: skróć, nie nadrabiaj kilometrów.</x:v>
      </x:c>
      <x:c r="V63" s="227"/>
      <x:c r="W63" s="228"/>
      <x:c r="X63" s="226"/>
      <x:c r="Y63" s="229"/>
      <x:c r="Z63" s="227"/>
      <x:c r="AA63" s="226" t="str">
        <x:f>IF(AND(L63="",M63="",N63="",Z63=""),"",IF(OR(M63&gt;=5,N63&lt;6,L63&gt;=8),"CZERWONY",IF(OR(M63&gt;=3,N63&lt;6.5,L63&gt;=7,Z63&lt;=4),"ŻÓŁTY","OK")))</x:f>
      </x:c>
      <x:c r="AB63" s="226" t="str">
        <x:f>IF(AA63="","",IF(AA63="OK","Realizuj plan normalnie.",IF(AA63="ŻÓŁTY","Skróć 10-30% albo zamień akcent na easy.", "STOP mocne bodźce: wolne/basen/Tacx Z1 48-72 h.")))</x:f>
      </x:c>
    </x:row>
    <x:row r="64">
      <x:c r="A64" s="71" t="n">
        <x:v>46243</x:v>
      </x:c>
      <x:c r="B64" s="72" t="str">
        <x:v>Niedziela</x:v>
      </x:c>
      <x:c r="C64" s="72" t="str">
        <x:v>Tydzień 6 do Oslo</x:v>
      </x:c>
      <x:c r="D64" s="72" t="str">
        <x:v>Najmocniejszy blok specyficzny</x:v>
      </x:c>
      <x:c r="E64" s="72" t="str">
        <x:v>WOLNE / spacer</x:v>
      </x:c>
      <x:c r="F64" s="72" t="str">
        <x:v>Pełny odpoczynek lub spacer 20-40 min. Kontrola bólu 0-10.</x:v>
      </x:c>
      <x:c r="G64" s="72" t="str">
        <x:v>WOLNE</x:v>
      </x:c>
      <x:c r="H64" s="72" t="str">
        <x:v>Adaptacja</x:v>
      </x:c>
      <x:c r="I64" s="72" t="str">
        <x:v>Normalne śniadanie, bez wymuszonego ładowania.</x:v>
      </x:c>
      <x:c r="J64" s="72" t="str">
        <x:v>Warzywa + białko + spokojna porcja węgli.</x:v>
      </x:c>
      <x:c r="K64" s="72" t="str">
        <x:v>Lekko, prosto, sen ważniejszy niż idealne makro.</x:v>
      </x:c>
      <x:c r="L64" s="72"/>
      <x:c r="M64" s="72"/>
      <x:c r="N64" s="72"/>
      <x:c r="O64" s="72"/>
      <x:c r="P64" s="72"/>
      <x:c r="Q64" s="72" t="str">
        <x:v>Nie nadrabiaj zaległości. Regeneracja jest częścią planu.</x:v>
      </x:c>
      <x:c r="V64" s="227"/>
      <x:c r="W64" s="228"/>
      <x:c r="X64" s="226"/>
      <x:c r="Y64" s="229"/>
      <x:c r="Z64" s="227"/>
      <x:c r="AA64" s="226" t="str">
        <x:f>IF(AND(L64="",M64="",N64="",Z64=""),"",IF(OR(M64&gt;=5,N64&lt;6,L64&gt;=8),"CZERWONY",IF(OR(M64&gt;=3,N64&lt;6.5,L64&gt;=7,Z64&lt;=4),"ŻÓŁTY","OK")))</x:f>
      </x:c>
      <x:c r="AB64" s="226" t="str">
        <x:f>IF(AA64="","",IF(AA64="OK","Realizuj plan normalnie.",IF(AA64="ŻÓŁTY","Skróć 10-30% albo zamień akcent na easy.", "STOP mocne bodźce: wolne/basen/Tacx Z1 48-72 h.")))</x:f>
      </x:c>
    </x:row>
    <x:row r="65">
      <x:c r="A65" s="71" t="n">
        <x:v>46244</x:v>
      </x:c>
      <x:c r="B65" s="72" t="str">
        <x:v>Poniedziałek</x:v>
      </x:c>
      <x:c r="C65" s="72" t="str">
        <x:v>Tydzień 5 do Oslo</x:v>
      </x:c>
      <x:c r="D65" s="72" t="str">
        <x:v>Szczyt objętości</x:v>
      </x:c>
      <x:c r="E65" s="72" t="str">
        <x:v>WOLNE</x:v>
      </x:c>
      <x:c r="F65" s="72" t="str">
        <x:v>Dzień wolny. Mobilizacja bioder/łydek 10-15 min, sen, nawodnienie.</x:v>
      </x:c>
      <x:c r="G65" s="72" t="str">
        <x:v>WOLNE</x:v>
      </x:c>
      <x:c r="H65" s="72" t="str">
        <x:v>Regeneracja</x:v>
      </x:c>
      <x:c r="I65" s="72" t="str">
        <x:v>Normalne śniadanie, bez wymuszonego ładowania.</x:v>
      </x:c>
      <x:c r="J65" s="72" t="str">
        <x:v>Warzywa + białko + spokojna porcja węgli.</x:v>
      </x:c>
      <x:c r="K65" s="72" t="str">
        <x:v>Lekko, prosto, sen ważniejszy niż idealne makro.</x:v>
      </x:c>
      <x:c r="L65" s="72"/>
      <x:c r="M65" s="72"/>
      <x:c r="N65" s="72"/>
      <x:c r="O65" s="72"/>
      <x:c r="P65" s="72"/>
      <x:c r="Q65" s="72" t="str">
        <x:v>Nie nadrabiaj zaległości. Regeneracja jest częścią planu.</x:v>
      </x:c>
      <x:c r="V65" s="227"/>
      <x:c r="W65" s="228"/>
      <x:c r="X65" s="226"/>
      <x:c r="Y65" s="229"/>
      <x:c r="Z65" s="227"/>
      <x:c r="AA65" s="226" t="str">
        <x:f>IF(AND(L65="",M65="",N65="",Z65=""),"",IF(OR(M65&gt;=5,N65&lt;6,L65&gt;=8),"CZERWONY",IF(OR(M65&gt;=3,N65&lt;6.5,L65&gt;=7,Z65&lt;=4),"ŻÓŁTY","OK")))</x:f>
      </x:c>
      <x:c r="AB65" s="226" t="str">
        <x:f>IF(AA65="","",IF(AA65="OK","Realizuj plan normalnie.",IF(AA65="ŻÓŁTY","Skróć 10-30% albo zamień akcent na easy.", "STOP mocne bodźce: wolne/basen/Tacx Z1 48-72 h.")))</x:f>
      </x:c>
    </x:row>
    <x:row r="66">
      <x:c r="A66" s="53" t="n">
        <x:v>46245</x:v>
      </x:c>
      <x:c r="B66" s="54" t="str">
        <x:v>Wtorek</x:v>
      </x:c>
      <x:c r="C66" s="54" t="str">
        <x:v>Tydzień 5 do Oslo</x:v>
      </x:c>
      <x:c r="D66" s="54" t="str">
        <x:v>Szczyt objętości</x:v>
      </x:c>
      <x:c r="E66" s="54" t="str">
        <x:v>Bieg steady</x:v>
      </x:c>
      <x:c r="F66" s="54" t="str">
        <x:v>10-12 km steady 5:05-5:20/km + 4x20 s rytmy. Ma być kontrola.</x:v>
      </x:c>
      <x:c r="G66" s="54" t="str">
        <x:v>MP/RACE PACE</x:v>
      </x:c>
      <x:c r="H66" s="54" t="str">
        <x:v>Kontrolowana trwałość</x:v>
      </x:c>
      <x:c r="I66" s="54" t="str">
        <x:v>2-3 h przed: kleik/ryż/wafle + miód/dżem; mało tłuszczu i błonnika.</x:v>
      </x:c>
      <x:c r="J66" s="54" t="str">
        <x:v>Ryż/ziemniaki/kasza + lekkie białko + warzywa.</x:v>
      </x:c>
      <x:c r="K66" s="54" t="str">
        <x:v>Po: 20-35 g białka + węgle; elektrolity.</x:v>
      </x:c>
      <x:c r="L66" s="54"/>
      <x:c r="M66" s="54"/>
      <x:c r="N66" s="54"/>
      <x:c r="O66" s="54"/>
      <x:c r="P66" s="54"/>
      <x:c r="Q66" s="54" t="str">
        <x:v>Jeśli ból ≥3/10 lub sen &lt;6 h: zamień na easy 30-45 min albo basen.</x:v>
      </x:c>
      <x:c r="V66" s="227"/>
      <x:c r="W66" s="228"/>
      <x:c r="X66" s="226"/>
      <x:c r="Y66" s="229"/>
      <x:c r="Z66" s="227"/>
      <x:c r="AA66" s="226" t="str">
        <x:f>IF(AND(L66="",M66="",N66="",Z66=""),"",IF(OR(M66&gt;=5,N66&lt;6,L66&gt;=8),"CZERWONY",IF(OR(M66&gt;=3,N66&lt;6.5,L66&gt;=7,Z66&lt;=4),"ŻÓŁTY","OK")))</x:f>
      </x:c>
      <x:c r="AB66" s="226" t="str">
        <x:f>IF(AA66="","",IF(AA66="OK","Realizuj plan normalnie.",IF(AA66="ŻÓŁTY","Skróć 10-30% albo zamień akcent na easy.", "STOP mocne bodźce: wolne/basen/Tacx Z1 48-72 h.")))</x:f>
      </x:c>
    </x:row>
    <x:row r="67">
      <x:c r="A67" s="113" t="n">
        <x:v>46246</x:v>
      </x:c>
      <x:c r="B67" s="107" t="str">
        <x:v>Środa</x:v>
      </x:c>
      <x:c r="C67" s="107" t="str">
        <x:v>Tydzień 5 do Oslo</x:v>
      </x:c>
      <x:c r="D67" s="107" t="str">
        <x:v>Szczyt objętości</x:v>
      </x:c>
      <x:c r="E67" s="107" t="str">
        <x:v>Tacx Z1/Z2</x:v>
      </x:c>
      <x:c r="F67" s="107" t="str">
        <x:v>55-70 min Z2 155-185 W, kadencja 90-95. Bez sweet spotu w Fazie 1.</x:v>
      </x:c>
      <x:c r="G67" s="107" t="str">
        <x:v>ŁATWY</x:v>
      </x:c>
      <x:c r="H67" s="107" t="str">
        <x:v>Tlen bez dobijania nóg</x:v>
      </x:c>
      <x:c r="I67" s="107" t="str">
        <x:v>Jajka lub jogurt/skyr + owoce; kawa spokojnie.</x:v>
      </x:c>
      <x:c r="J67" s="107" t="str">
        <x:v>Zupa/kasza/ryż + warzywa + białko; nawodnienie.</x:v>
      </x:c>
      <x:c r="K67" s="107" t="str">
        <x:v>Lekka kolacja: ryż/ziemniaki + ryba/tofu/jaja + warzywa.</x:v>
      </x:c>
      <x:c r="L67" s="107"/>
      <x:c r="M67" s="107"/>
      <x:c r="N67" s="107"/>
      <x:c r="O67" s="107"/>
      <x:c r="P67" s="107"/>
      <x:c r="Q67" s="107" t="str">
        <x:v>Jeśli nogi ciężkie: skróć o 20-30% i trzymaj Z1/Z2.</x:v>
      </x:c>
      <x:c r="V67" s="227"/>
      <x:c r="W67" s="228"/>
      <x:c r="X67" s="226"/>
      <x:c r="Y67" s="229"/>
      <x:c r="Z67" s="227"/>
      <x:c r="AA67" s="226" t="str">
        <x:f>IF(AND(L67="",M67="",N67="",Z67=""),"",IF(OR(M67&gt;=5,N67&lt;6,L67&gt;=8),"CZERWONY",IF(OR(M67&gt;=3,N67&lt;6.5,L67&gt;=7,Z67&lt;=4),"ŻÓŁTY","OK")))</x:f>
      </x:c>
      <x:c r="AB67" s="226" t="str">
        <x:f>IF(AA67="","",IF(AA67="OK","Realizuj plan normalnie.",IF(AA67="ŻÓŁTY","Skróć 10-30% albo zamień akcent na easy.", "STOP mocne bodźce: wolne/basen/Tacx Z1 48-72 h.")))</x:f>
      </x:c>
    </x:row>
    <x:row r="68">
      <x:c r="A68" s="77" t="n">
        <x:v>46247</x:v>
      </x:c>
      <x:c r="B68" s="78" t="str">
        <x:v>Czwartek</x:v>
      </x:c>
      <x:c r="C68" s="78" t="str">
        <x:v>Tydzień 5 do Oslo</x:v>
      </x:c>
      <x:c r="D68" s="78" t="str">
        <x:v>Szczyt objętości</x:v>
      </x:c>
      <x:c r="E68" s="78" t="str">
        <x:v>Bieg easy + BASEN</x:v>
      </x:c>
      <x:c r="F68" s="78" t="str">
        <x:v>RANO: 6-9 km easy 5:40-6:05/km + 10-15 min mobility. WIECZÓR: 800-1200 m luźno.</x:v>
      </x:c>
      <x:c r="G68" s="78" t="str">
        <x:v>ŁATWY</x:v>
      </x:c>
      <x:c r="H68" s="78" t="str">
        <x:v>Objętość nisko-kosztowa</x:v>
      </x:c>
      <x:c r="I68" s="78" t="str">
        <x:v>Jajka lub jogurt/skyr + owoce; kawa spokojnie.</x:v>
      </x:c>
      <x:c r="J68" s="78" t="str">
        <x:v>Zupa/kasza/ryż + warzywa + białko; nawodnienie.</x:v>
      </x:c>
      <x:c r="K68" s="78" t="str">
        <x:v>Lekka kolacja: ryż/ziemniaki + ryba/tofu/jaja + warzywa.</x:v>
      </x:c>
      <x:c r="L68" s="78"/>
      <x:c r="M68" s="78"/>
      <x:c r="N68" s="78"/>
      <x:c r="O68" s="78"/>
      <x:c r="P68" s="78"/>
      <x:c r="Q68" s="78" t="str">
        <x:v>Jeśli nogi ciężkie: skróć o 20-30% i trzymaj Z1/Z2.</x:v>
      </x:c>
      <x:c r="V68" s="227"/>
      <x:c r="W68" s="228"/>
      <x:c r="X68" s="226"/>
      <x:c r="Y68" s="229"/>
      <x:c r="Z68" s="227"/>
      <x:c r="AA68" s="226" t="str">
        <x:f>IF(AND(L68="",M68="",N68="",Z68=""),"",IF(OR(M68&gt;=5,N68&lt;6,L68&gt;=8),"CZERWONY",IF(OR(M68&gt;=3,N68&lt;6.5,L68&gt;=7,Z68&lt;=4),"ŻÓŁTY","OK")))</x:f>
      </x:c>
      <x:c r="AB68" s="226" t="str">
        <x:f>IF(AA68="","",IF(AA68="OK","Realizuj plan normalnie.",IF(AA68="ŻÓŁTY","Skróć 10-30% albo zamień akcent na easy.", "STOP mocne bodźce: wolne/basen/Tacx Z1 48-72 h.")))</x:f>
      </x:c>
    </x:row>
    <x:row r="69">
      <x:c r="A69" s="77" t="n">
        <x:v>46248</x:v>
      </x:c>
      <x:c r="B69" s="78" t="str">
        <x:v>Piątek</x:v>
      </x:c>
      <x:c r="C69" s="78" t="str">
        <x:v>Tydzień 5 do Oslo</x:v>
      </x:c>
      <x:c r="D69" s="78" t="str">
        <x:v>Szczyt objętości</x:v>
      </x:c>
      <x:c r="E69" s="78" t="str">
        <x:v>BASEN / WOLNE</x:v>
      </x:c>
      <x:c r="F69" s="78" t="str">
        <x:v>1000-1400 m technika lub WOLNE, jeśli stopa/łydka sygnalizuje zmęczenie.</x:v>
      </x:c>
      <x:c r="G69" s="78" t="str">
        <x:v>REGENERACJA</x:v>
      </x:c>
      <x:c r="H69" s="78" t="str">
        <x:v>Technika i regeneracja</x:v>
      </x:c>
      <x:c r="I69" s="78" t="str">
        <x:v>Normalne śniadanie, bez wymuszonego ładowania.</x:v>
      </x:c>
      <x:c r="J69" s="78" t="str">
        <x:v>Warzywa + białko + spokojna porcja węgli.</x:v>
      </x:c>
      <x:c r="K69" s="78" t="str">
        <x:v>Lekko, prosto, sen ważniejszy niż idealne makro.</x:v>
      </x:c>
      <x:c r="L69" s="78"/>
      <x:c r="M69" s="78"/>
      <x:c r="N69" s="78"/>
      <x:c r="O69" s="78"/>
      <x:c r="P69" s="78"/>
      <x:c r="Q69" s="78" t="str">
        <x:v>Nie nadrabiaj zaległości. Regeneracja jest częścią planu.</x:v>
      </x:c>
      <x:c r="V69" s="227"/>
      <x:c r="W69" s="228"/>
      <x:c r="X69" s="226"/>
      <x:c r="Y69" s="229"/>
      <x:c r="Z69" s="227"/>
      <x:c r="AA69" s="226" t="str">
        <x:f>IF(AND(L69="",M69="",N69="",Z69=""),"",IF(OR(M69&gt;=5,N69&lt;6,L69&gt;=8),"CZERWONY",IF(OR(M69&gt;=3,N69&lt;6.5,L69&gt;=7,Z69&lt;=4),"ŻÓŁTY","OK")))</x:f>
      </x:c>
      <x:c r="AB69" s="226" t="str">
        <x:f>IF(AA69="","",IF(AA69="OK","Realizuj plan normalnie.",IF(AA69="ŻÓŁTY","Skróć 10-30% albo zamień akcent na easy.", "STOP mocne bodźce: wolne/basen/Tacx Z1 48-72 h.")))</x:f>
      </x:c>
    </x:row>
    <x:row r="70">
      <x:c r="A70" s="65" t="n">
        <x:v>46249</x:v>
      </x:c>
      <x:c r="B70" s="66" t="str">
        <x:v>Sobota</x:v>
      </x:c>
      <x:c r="C70" s="66" t="str">
        <x:v>Tydzień 5 do Oslo</x:v>
      </x:c>
      <x:c r="D70" s="66" t="str">
        <x:v>Szczyt objętości</x:v>
      </x:c>
      <x:c r="E70" s="66" t="str">
        <x:v>Bieg najdłuższy</x:v>
      </x:c>
      <x:c r="F70" s="66" t="str">
        <x:v>32 km easy 5:35-5:55/km. Bez ścigania. Najważniejsze: paliwo, stopy, głowa.</x:v>
      </x:c>
      <x:c r="G70" s="66" t="str">
        <x:v>LONG</x:v>
      </x:c>
      <x:c r="H70" s="66" t="str">
        <x:v>Najdłuższy bieg</x:v>
      </x:c>
      <x:c r="I70" s="66" t="str">
        <x:v>3 h przed: sprawdzony posiłek węglowodanowy; bez nowych produktów.</x:v>
      </x:c>
      <x:c r="J70" s="66" t="str">
        <x:v>Po treningu: ryż/ziemniaki + białko + sól/elektrolity.</x:v>
      </x:c>
      <x:c r="K70" s="66" t="str">
        <x:v>Kolacja regeneracyjna: węgle + białko + warzywa; uzupełnij płyny.</x:v>
      </x:c>
      <x:c r="L70" s="66"/>
      <x:c r="M70" s="66"/>
      <x:c r="N70" s="66"/>
      <x:c r="O70" s="66"/>
      <x:c r="P70" s="66"/>
      <x:c r="Q70" s="66" t="str">
        <x:v>Jeśli ból narasta lub RPE &gt;7 przed połową: skróć, nie nadrabiaj kilometrów.</x:v>
      </x:c>
      <x:c r="V70" s="227"/>
      <x:c r="W70" s="228"/>
      <x:c r="X70" s="226"/>
      <x:c r="Y70" s="229"/>
      <x:c r="Z70" s="227"/>
      <x:c r="AA70" s="226" t="str">
        <x:f>IF(AND(L70="",M70="",N70="",Z70=""),"",IF(OR(M70&gt;=5,N70&lt;6,L70&gt;=8),"CZERWONY",IF(OR(M70&gt;=3,N70&lt;6.5,L70&gt;=7,Z70&lt;=4),"ŻÓŁTY","OK")))</x:f>
      </x:c>
      <x:c r="AB70" s="226" t="str">
        <x:f>IF(AA70="","",IF(AA70="OK","Realizuj plan normalnie.",IF(AA70="ŻÓŁTY","Skróć 10-30% albo zamień akcent na easy.", "STOP mocne bodźce: wolne/basen/Tacx Z1 48-72 h.")))</x:f>
      </x:c>
    </x:row>
    <x:row r="71">
      <x:c r="A71" s="71" t="n">
        <x:v>46250</x:v>
      </x:c>
      <x:c r="B71" s="72" t="str">
        <x:v>Niedziela</x:v>
      </x:c>
      <x:c r="C71" s="72" t="str">
        <x:v>Tydzień 5 do Oslo</x:v>
      </x:c>
      <x:c r="D71" s="72" t="str">
        <x:v>Szczyt objętości</x:v>
      </x:c>
      <x:c r="E71" s="72" t="str">
        <x:v>WOLNE / spacer</x:v>
      </x:c>
      <x:c r="F71" s="72" t="str">
        <x:v>Pełny odpoczynek lub spacer 20-40 min. Kontrola bólu 0-10.</x:v>
      </x:c>
      <x:c r="G71" s="72" t="str">
        <x:v>WOLNE</x:v>
      </x:c>
      <x:c r="H71" s="72" t="str">
        <x:v>Adaptacja</x:v>
      </x:c>
      <x:c r="I71" s="72" t="str">
        <x:v>Normalne śniadanie, bez wymuszonego ładowania.</x:v>
      </x:c>
      <x:c r="J71" s="72" t="str">
        <x:v>Warzywa + białko + spokojna porcja węgli.</x:v>
      </x:c>
      <x:c r="K71" s="72" t="str">
        <x:v>Lekko, prosto, sen ważniejszy niż idealne makro.</x:v>
      </x:c>
      <x:c r="L71" s="72"/>
      <x:c r="M71" s="72"/>
      <x:c r="N71" s="72"/>
      <x:c r="O71" s="72"/>
      <x:c r="P71" s="72"/>
      <x:c r="Q71" s="72" t="str">
        <x:v>Nie nadrabiaj zaległości. Regeneracja jest częścią planu.</x:v>
      </x:c>
      <x:c r="V71" s="227"/>
      <x:c r="W71" s="228"/>
      <x:c r="X71" s="226"/>
      <x:c r="Y71" s="229"/>
      <x:c r="Z71" s="227"/>
      <x:c r="AA71" s="226" t="str">
        <x:f>IF(AND(L71="",M71="",N71="",Z71=""),"",IF(OR(M71&gt;=5,N71&lt;6,L71&gt;=8),"CZERWONY",IF(OR(M71&gt;=3,N71&lt;6.5,L71&gt;=7,Z71&lt;=4),"ŻÓŁTY","OK")))</x:f>
      </x:c>
      <x:c r="AB71" s="226" t="str">
        <x:f>IF(AA71="","",IF(AA71="OK","Realizuj plan normalnie.",IF(AA71="ŻÓŁTY","Skróć 10-30% albo zamień akcent na easy.", "STOP mocne bodźce: wolne/basen/Tacx Z1 48-72 h.")))</x:f>
      </x:c>
    </x:row>
    <x:row r="72">
      <x:c r="A72" s="71" t="n">
        <x:v>46251</x:v>
      </x:c>
      <x:c r="B72" s="72" t="str">
        <x:v>Poniedziałek</x:v>
      </x:c>
      <x:c r="C72" s="72" t="str">
        <x:v>Tydzień 4 do Oslo</x:v>
      </x:c>
      <x:c r="D72" s="72" t="str">
        <x:v>Ostatni mocny long</x:v>
      </x:c>
      <x:c r="E72" s="72" t="str">
        <x:v>WOLNE</x:v>
      </x:c>
      <x:c r="F72" s="72" t="str">
        <x:v>Dzień wolny. Mobilizacja bioder/łydek 10-15 min, sen, nawodnienie.</x:v>
      </x:c>
      <x:c r="G72" s="72" t="str">
        <x:v>WOLNE</x:v>
      </x:c>
      <x:c r="H72" s="72" t="str">
        <x:v>Regeneracja</x:v>
      </x:c>
      <x:c r="I72" s="72" t="str">
        <x:v>Normalne śniadanie, bez wymuszonego ładowania.</x:v>
      </x:c>
      <x:c r="J72" s="72" t="str">
        <x:v>Warzywa + białko + spokojna porcja węgli.</x:v>
      </x:c>
      <x:c r="K72" s="72" t="str">
        <x:v>Lekko, prosto, sen ważniejszy niż idealne makro.</x:v>
      </x:c>
      <x:c r="L72" s="72"/>
      <x:c r="M72" s="72"/>
      <x:c r="N72" s="72"/>
      <x:c r="O72" s="72"/>
      <x:c r="P72" s="72"/>
      <x:c r="Q72" s="72" t="str">
        <x:v>Nie nadrabiaj zaległości. Regeneracja jest częścią planu.</x:v>
      </x:c>
      <x:c r="V72" s="227"/>
      <x:c r="W72" s="228"/>
      <x:c r="X72" s="226"/>
      <x:c r="Y72" s="229"/>
      <x:c r="Z72" s="227"/>
      <x:c r="AA72" s="226" t="str">
        <x:f>IF(AND(L72="",M72="",N72="",Z72=""),"",IF(OR(M72&gt;=5,N72&lt;6,L72&gt;=8),"CZERWONY",IF(OR(M72&gt;=3,N72&lt;6.5,L72&gt;=7,Z72&lt;=4),"ŻÓŁTY","OK")))</x:f>
      </x:c>
      <x:c r="AB72" s="226" t="str">
        <x:f>IF(AA72="","",IF(AA72="OK","Realizuj plan normalnie.",IF(AA72="ŻÓŁTY","Skróć 10-30% albo zamień akcent na easy.", "STOP mocne bodźce: wolne/basen/Tacx Z1 48-72 h.")))</x:f>
      </x:c>
    </x:row>
    <x:row r="73">
      <x:c r="A73" s="53" t="n">
        <x:v>46252</x:v>
      </x:c>
      <x:c r="B73" s="54" t="str">
        <x:v>Wtorek</x:v>
      </x:c>
      <x:c r="C73" s="54" t="str">
        <x:v>Tydzień 4 do Oslo</x:v>
      </x:c>
      <x:c r="D73" s="54" t="str">
        <x:v>Ostatni mocny long</x:v>
      </x:c>
      <x:c r="E73" s="54" t="str">
        <x:v>Bieg interwały krótsze</x:v>
      </x:c>
      <x:c r="F73" s="54" t="str">
        <x:v>2 km easy + 5x1 km 4:20/km / 3 min trucht + schłodzenie. Bez zajechania.</x:v>
      </x:c>
      <x:c r="G73" s="54" t="str">
        <x:v>MOCNY</x:v>
      </x:c>
      <x:c r="H73" s="54" t="str">
        <x:v>Podtrzymanie szybkości</x:v>
      </x:c>
      <x:c r="I73" s="54" t="str">
        <x:v>2-3 h przed: kleik/ryż/wafle + miód/dżem; mało tłuszczu i błonnika.</x:v>
      </x:c>
      <x:c r="J73" s="54" t="str">
        <x:v>Ryż/ziemniaki/kasza + lekkie białko + warzywa.</x:v>
      </x:c>
      <x:c r="K73" s="54" t="str">
        <x:v>Po: 20-35 g białka + węgle; elektrolity.</x:v>
      </x:c>
      <x:c r="L73" s="54"/>
      <x:c r="M73" s="54"/>
      <x:c r="N73" s="54"/>
      <x:c r="O73" s="54"/>
      <x:c r="P73" s="54"/>
      <x:c r="Q73" s="54" t="str">
        <x:v>Jeśli ból ≥3/10 lub sen &lt;6 h: zamień na easy 30-45 min albo basen.</x:v>
      </x:c>
      <x:c r="V73" s="227"/>
      <x:c r="W73" s="228"/>
      <x:c r="X73" s="226"/>
      <x:c r="Y73" s="229"/>
      <x:c r="Z73" s="227"/>
      <x:c r="AA73" s="226" t="str">
        <x:f>IF(AND(L73="",M73="",N73="",Z73=""),"",IF(OR(M73&gt;=5,N73&lt;6,L73&gt;=8),"CZERWONY",IF(OR(M73&gt;=3,N73&lt;6.5,L73&gt;=7,Z73&lt;=4),"ŻÓŁTY","OK")))</x:f>
      </x:c>
      <x:c r="AB73" s="226" t="str">
        <x:f>IF(AA73="","",IF(AA73="OK","Realizuj plan normalnie.",IF(AA73="ŻÓŁTY","Skróć 10-30% albo zamień akcent na easy.", "STOP mocne bodźce: wolne/basen/Tacx Z1 48-72 h.")))</x:f>
      </x:c>
    </x:row>
    <x:row r="74">
      <x:c r="A74" s="53" t="n">
        <x:v>46253</x:v>
      </x:c>
      <x:c r="B74" s="54" t="str">
        <x:v>Środa</x:v>
      </x:c>
      <x:c r="C74" s="54" t="str">
        <x:v>Tydzień 4 do Oslo</x:v>
      </x:c>
      <x:c r="D74" s="54" t="str">
        <x:v>Ostatni mocny long</x:v>
      </x:c>
      <x:c r="E74" s="54" t="str">
        <x:v>Tacx Z1/Z2</x:v>
      </x:c>
      <x:c r="F74" s="54" t="str">
        <x:v>55-70 min Z2 155-185 W, kadencja 90-95. Bez sweet spotu w Fazie 1.</x:v>
      </x:c>
      <x:c r="G74" s="54" t="str">
        <x:v>ŁATWY</x:v>
      </x:c>
      <x:c r="H74" s="54" t="str">
        <x:v>Tlen bez dobijania nóg</x:v>
      </x:c>
      <x:c r="I74" s="54" t="str">
        <x:v>Jajka lub jogurt/skyr + owoce; kawa spokojnie.</x:v>
      </x:c>
      <x:c r="J74" s="54" t="str">
        <x:v>Zupa/kasza/ryż + warzywa + białko; nawodnienie.</x:v>
      </x:c>
      <x:c r="K74" s="54" t="str">
        <x:v>Lekka kolacja: ryż/ziemniaki + ryba/tofu/jaja + warzywa.</x:v>
      </x:c>
      <x:c r="L74" s="54"/>
      <x:c r="M74" s="54"/>
      <x:c r="N74" s="54"/>
      <x:c r="O74" s="54"/>
      <x:c r="P74" s="54"/>
      <x:c r="Q74" s="54" t="str">
        <x:v>Jeśli nogi ciężkie: skróć o 20-30% i trzymaj Z1/Z2.</x:v>
      </x:c>
      <x:c r="V74" s="227"/>
      <x:c r="W74" s="228"/>
      <x:c r="X74" s="226"/>
      <x:c r="Y74" s="229"/>
      <x:c r="Z74" s="227"/>
      <x:c r="AA74" s="226" t="str">
        <x:f>IF(AND(L74="",M74="",N74="",Z74=""),"",IF(OR(M74&gt;=5,N74&lt;6,L74&gt;=8),"CZERWONY",IF(OR(M74&gt;=3,N74&lt;6.5,L74&gt;=7,Z74&lt;=4),"ŻÓŁTY","OK")))</x:f>
      </x:c>
      <x:c r="AB74" s="226" t="str">
        <x:f>IF(AA74="","",IF(AA74="OK","Realizuj plan normalnie.",IF(AA74="ŻÓŁTY","Skróć 10-30% albo zamień akcent na easy.", "STOP mocne bodźce: wolne/basen/Tacx Z1 48-72 h.")))</x:f>
      </x:c>
    </x:row>
    <x:row r="75">
      <x:c r="A75" s="53" t="n">
        <x:v>46254</x:v>
      </x:c>
      <x:c r="B75" s="54" t="str">
        <x:v>Czwartek</x:v>
      </x:c>
      <x:c r="C75" s="54" t="str">
        <x:v>Tydzień 4 do Oslo</x:v>
      </x:c>
      <x:c r="D75" s="54" t="str">
        <x:v>Ostatni mocny long</x:v>
      </x:c>
      <x:c r="E75" s="54" t="str">
        <x:v>Bieg easy + BASEN</x:v>
      </x:c>
      <x:c r="F75" s="54" t="str">
        <x:v>RANO: 6-9 km easy 5:40-6:05/km + 10-15 min mobility. WIECZÓR: 800-1200 m luźno.</x:v>
      </x:c>
      <x:c r="G75" s="54" t="str">
        <x:v>ŁATWY</x:v>
      </x:c>
      <x:c r="H75" s="54" t="str">
        <x:v>Objętość nisko-kosztowa</x:v>
      </x:c>
      <x:c r="I75" s="54" t="str">
        <x:v>Jajka lub jogurt/skyr + owoce; kawa spokojnie.</x:v>
      </x:c>
      <x:c r="J75" s="54" t="str">
        <x:v>Zupa/kasza/ryż + warzywa + białko; nawodnienie.</x:v>
      </x:c>
      <x:c r="K75" s="54" t="str">
        <x:v>Lekka kolacja: ryż/ziemniaki + ryba/tofu/jaja + warzywa.</x:v>
      </x:c>
      <x:c r="L75" s="54"/>
      <x:c r="M75" s="54"/>
      <x:c r="N75" s="54"/>
      <x:c r="O75" s="54"/>
      <x:c r="P75" s="54"/>
      <x:c r="Q75" s="54" t="str">
        <x:v>Jeśli nogi ciężkie: skróć o 20-30% i trzymaj Z1/Z2.</x:v>
      </x:c>
      <x:c r="V75" s="227"/>
      <x:c r="W75" s="228"/>
      <x:c r="X75" s="226"/>
      <x:c r="Y75" s="229"/>
      <x:c r="Z75" s="227"/>
      <x:c r="AA75" s="226" t="str">
        <x:f>IF(AND(L75="",M75="",N75="",Z75=""),"",IF(OR(M75&gt;=5,N75&lt;6,L75&gt;=8),"CZERWONY",IF(OR(M75&gt;=3,N75&lt;6.5,L75&gt;=7,Z75&lt;=4),"ŻÓŁTY","OK")))</x:f>
      </x:c>
      <x:c r="AB75" s="226" t="str">
        <x:f>IF(AA75="","",IF(AA75="OK","Realizuj plan normalnie.",IF(AA75="ŻÓŁTY","Skróć 10-30% albo zamień akcent na easy.", "STOP mocne bodźce: wolne/basen/Tacx Z1 48-72 h.")))</x:f>
      </x:c>
    </x:row>
    <x:row r="76">
      <x:c r="A76" s="53" t="n">
        <x:v>46255</x:v>
      </x:c>
      <x:c r="B76" s="54" t="str">
        <x:v>Piątek</x:v>
      </x:c>
      <x:c r="C76" s="54" t="str">
        <x:v>Tydzień 4 do Oslo</x:v>
      </x:c>
      <x:c r="D76" s="54" t="str">
        <x:v>Ostatni mocny long</x:v>
      </x:c>
      <x:c r="E76" s="54" t="str">
        <x:v>BASEN / WOLNE</x:v>
      </x:c>
      <x:c r="F76" s="54" t="str">
        <x:v>1000-1400 m technika lub WOLNE, jeśli stopa/łydka sygnalizuje zmęczenie.</x:v>
      </x:c>
      <x:c r="G76" s="54" t="str">
        <x:v>REGENERACJA</x:v>
      </x:c>
      <x:c r="H76" s="54" t="str">
        <x:v>Technika i regeneracja</x:v>
      </x:c>
      <x:c r="I76" s="54" t="str">
        <x:v>Normalne śniadanie, bez wymuszonego ładowania.</x:v>
      </x:c>
      <x:c r="J76" s="54" t="str">
        <x:v>Warzywa + białko + spokojna porcja węgli.</x:v>
      </x:c>
      <x:c r="K76" s="54" t="str">
        <x:v>Lekko, prosto, sen ważniejszy niż idealne makro.</x:v>
      </x:c>
      <x:c r="L76" s="54"/>
      <x:c r="M76" s="54"/>
      <x:c r="N76" s="54"/>
      <x:c r="O76" s="54"/>
      <x:c r="P76" s="54"/>
      <x:c r="Q76" s="54" t="str">
        <x:v>Nie nadrabiaj zaległości. Regeneracja jest częścią planu.</x:v>
      </x:c>
      <x:c r="V76" s="227"/>
      <x:c r="W76" s="228"/>
      <x:c r="X76" s="226"/>
      <x:c r="Y76" s="229"/>
      <x:c r="Z76" s="227"/>
      <x:c r="AA76" s="226" t="str">
        <x:f>IF(AND(L76="",M76="",N76="",Z76=""),"",IF(OR(M76&gt;=5,N76&lt;6,L76&gt;=8),"CZERWONY",IF(OR(M76&gt;=3,N76&lt;6.5,L76&gt;=7,Z76&lt;=4),"ŻÓŁTY","OK")))</x:f>
      </x:c>
      <x:c r="AB76" s="226" t="str">
        <x:f>IF(AA76="","",IF(AA76="OK","Realizuj plan normalnie.",IF(AA76="ŻÓŁTY","Skróć 10-30% albo zamień akcent na easy.", "STOP mocne bodźce: wolne/basen/Tacx Z1 48-72 h.")))</x:f>
      </x:c>
    </x:row>
    <x:row r="77">
      <x:c r="A77" s="53" t="n">
        <x:v>46256</x:v>
      </x:c>
      <x:c r="B77" s="54" t="str">
        <x:v>Sobota</x:v>
      </x:c>
      <x:c r="C77" s="54" t="str">
        <x:v>Tydzień 4 do Oslo</x:v>
      </x:c>
      <x:c r="D77" s="54" t="str">
        <x:v>Ostatni mocny long</x:v>
      </x:c>
      <x:c r="E77" s="54" t="str">
        <x:v>Bieg long z MP</x:v>
      </x:c>
      <x:c r="F77" s="54" t="str">
        <x:v>26 km: 10 km easy + 10 km MP 4:58-5:02/km + 6 km easy. Ostatni mocny long.</x:v>
      </x:c>
      <x:c r="G77" s="54" t="str">
        <x:v>LONG</x:v>
      </x:c>
      <x:c r="H77" s="54" t="str">
        <x:v>Ostatni cięższy bodziec</x:v>
      </x:c>
      <x:c r="I77" s="54" t="str">
        <x:v>3 h przed: sprawdzony posiłek węglowodanowy; bez nowych produktów.</x:v>
      </x:c>
      <x:c r="J77" s="54" t="str">
        <x:v>Po treningu: ryż/ziemniaki + białko + sól/elektrolity.</x:v>
      </x:c>
      <x:c r="K77" s="54" t="str">
        <x:v>Kolacja regeneracyjna: węgle + białko + warzywa; uzupełnij płyny.</x:v>
      </x:c>
      <x:c r="L77" s="54"/>
      <x:c r="M77" s="54"/>
      <x:c r="N77" s="54"/>
      <x:c r="O77" s="54"/>
      <x:c r="P77" s="54"/>
      <x:c r="Q77" s="54" t="str">
        <x:v>Jeśli ból narasta lub RPE &gt;7 przed połową: skróć, nie nadrabiaj kilometrów.</x:v>
      </x:c>
      <x:c r="V77" s="227"/>
      <x:c r="W77" s="228"/>
      <x:c r="X77" s="226"/>
      <x:c r="Y77" s="229"/>
      <x:c r="Z77" s="227"/>
      <x:c r="AA77" s="226" t="str">
        <x:f>IF(AND(L77="",M77="",N77="",Z77=""),"",IF(OR(M77&gt;=5,N77&lt;6,L77&gt;=8),"CZERWONY",IF(OR(M77&gt;=3,N77&lt;6.5,L77&gt;=7,Z77&lt;=4),"ŻÓŁTY","OK")))</x:f>
      </x:c>
      <x:c r="AB77" s="226" t="str">
        <x:f>IF(AA77="","",IF(AA77="OK","Realizuj plan normalnie.",IF(AA77="ŻÓŁTY","Skróć 10-30% albo zamień akcent na easy.", "STOP mocne bodźce: wolne/basen/Tacx Z1 48-72 h.")))</x:f>
      </x:c>
    </x:row>
    <x:row r="78">
      <x:c r="A78" s="71" t="n">
        <x:v>46257</x:v>
      </x:c>
      <x:c r="B78" s="72" t="str">
        <x:v>Niedziela</x:v>
      </x:c>
      <x:c r="C78" s="72" t="str">
        <x:v>Tydzień 4 do Oslo</x:v>
      </x:c>
      <x:c r="D78" s="72" t="str">
        <x:v>Ostatni mocny long</x:v>
      </x:c>
      <x:c r="E78" s="72" t="str">
        <x:v>WOLNE / spacer</x:v>
      </x:c>
      <x:c r="F78" s="72" t="str">
        <x:v>Pełny odpoczynek lub spacer 20-40 min. Kontrola bólu 0-10.</x:v>
      </x:c>
      <x:c r="G78" s="72" t="str">
        <x:v>WOLNE</x:v>
      </x:c>
      <x:c r="H78" s="72" t="str">
        <x:v>Adaptacja</x:v>
      </x:c>
      <x:c r="I78" s="72" t="str">
        <x:v>Normalne śniadanie, bez wymuszonego ładowania.</x:v>
      </x:c>
      <x:c r="J78" s="72" t="str">
        <x:v>Warzywa + białko + spokojna porcja węgli.</x:v>
      </x:c>
      <x:c r="K78" s="72" t="str">
        <x:v>Lekko, prosto, sen ważniejszy niż idealne makro.</x:v>
      </x:c>
      <x:c r="L78" s="72"/>
      <x:c r="M78" s="72"/>
      <x:c r="N78" s="72"/>
      <x:c r="O78" s="72"/>
      <x:c r="P78" s="72"/>
      <x:c r="Q78" s="72" t="str">
        <x:v>Nie nadrabiaj zaległości. Regeneracja jest częścią planu.</x:v>
      </x:c>
      <x:c r="V78" s="227"/>
      <x:c r="W78" s="228"/>
      <x:c r="X78" s="226"/>
      <x:c r="Y78" s="229"/>
      <x:c r="Z78" s="227"/>
      <x:c r="AA78" s="226" t="str">
        <x:f>IF(AND(L78="",M78="",N78="",Z78=""),"",IF(OR(M78&gt;=5,N78&lt;6,L78&gt;=8),"CZERWONY",IF(OR(M78&gt;=3,N78&lt;6.5,L78&gt;=7,Z78&lt;=4),"ŻÓŁTY","OK")))</x:f>
      </x:c>
      <x:c r="AB78" s="226" t="str">
        <x:f>IF(AA78="","",IF(AA78="OK","Realizuj plan normalnie.",IF(AA78="ŻÓŁTY","Skróć 10-30% albo zamień akcent na easy.", "STOP mocne bodźce: wolne/basen/Tacx Z1 48-72 h.")))</x:f>
      </x:c>
    </x:row>
    <x:row r="79">
      <x:c r="A79" s="71" t="n">
        <x:v>46258</x:v>
      </x:c>
      <x:c r="B79" s="72" t="str">
        <x:v>Poniedziałek</x:v>
      </x:c>
      <x:c r="C79" s="72" t="str">
        <x:v>Tydzień 3 do Oslo</x:v>
      </x:c>
      <x:c r="D79" s="72" t="str">
        <x:v>Start taperu</x:v>
      </x:c>
      <x:c r="E79" s="72" t="str">
        <x:v>WOLNE</x:v>
      </x:c>
      <x:c r="F79" s="72" t="str">
        <x:v>Dzień wolny. Mobilizacja bioder/łydek 10-15 min, sen, nawodnienie.</x:v>
      </x:c>
      <x:c r="G79" s="72" t="str">
        <x:v>WOLNE</x:v>
      </x:c>
      <x:c r="H79" s="72" t="str">
        <x:v>Regeneracja</x:v>
      </x:c>
      <x:c r="I79" s="72" t="str">
        <x:v>Normalne śniadanie, bez wymuszonego ładowania.</x:v>
      </x:c>
      <x:c r="J79" s="72" t="str">
        <x:v>Warzywa + białko + spokojna porcja węgli.</x:v>
      </x:c>
      <x:c r="K79" s="72" t="str">
        <x:v>Lekko, prosto, sen ważniejszy niż idealne makro.</x:v>
      </x:c>
      <x:c r="L79" s="72"/>
      <x:c r="M79" s="72"/>
      <x:c r="N79" s="72"/>
      <x:c r="O79" s="72"/>
      <x:c r="P79" s="72"/>
      <x:c r="Q79" s="72" t="str">
        <x:v>Nie nadrabiaj zaległości. Regeneracja jest częścią planu.</x:v>
      </x:c>
      <x:c r="V79" s="227"/>
      <x:c r="W79" s="228"/>
      <x:c r="X79" s="226"/>
      <x:c r="Y79" s="229"/>
      <x:c r="Z79" s="227"/>
      <x:c r="AA79" s="226" t="str">
        <x:f>IF(AND(L79="",M79="",N79="",Z79=""),"",IF(OR(M79&gt;=5,N79&lt;6,L79&gt;=8),"CZERWONY",IF(OR(M79&gt;=3,N79&lt;6.5,L79&gt;=7,Z79&lt;=4),"ŻÓŁTY","OK")))</x:f>
      </x:c>
      <x:c r="AB79" s="226" t="str">
        <x:f>IF(AA79="","",IF(AA79="OK","Realizuj plan normalnie.",IF(AA79="ŻÓŁTY","Skróć 10-30% albo zamień akcent na easy.", "STOP mocne bodźce: wolne/basen/Tacx Z1 48-72 h.")))</x:f>
      </x:c>
    </x:row>
    <x:row r="80">
      <x:c r="A80" s="53" t="n">
        <x:v>46259</x:v>
      </x:c>
      <x:c r="B80" s="54" t="str">
        <x:v>Wtorek</x:v>
      </x:c>
      <x:c r="C80" s="54" t="str">
        <x:v>Tydzień 3 do Oslo</x:v>
      </x:c>
      <x:c r="D80" s="54" t="str">
        <x:v>Start taperu</x:v>
      </x:c>
      <x:c r="E80" s="54" t="str">
        <x:v>Bieg steady</x:v>
      </x:c>
      <x:c r="F80" s="54" t="str">
        <x:v>9-10 km steady 5:05-5:20/km + 4x20 s rytmy.</x:v>
      </x:c>
      <x:c r="G80" s="54" t="str">
        <x:v>MP/RACE PACE</x:v>
      </x:c>
      <x:c r="H80" s="54" t="str">
        <x:v>Świeżość + rytm</x:v>
      </x:c>
      <x:c r="I80" s="54" t="str">
        <x:v>2-3 h przed: kleik/ryż/wafle + miód/dżem; mało tłuszczu i błonnika.</x:v>
      </x:c>
      <x:c r="J80" s="54" t="str">
        <x:v>Ryż/ziemniaki/kasza + lekkie białko + warzywa.</x:v>
      </x:c>
      <x:c r="K80" s="54" t="str">
        <x:v>Po: 20-35 g białka + węgle; elektrolity.</x:v>
      </x:c>
      <x:c r="L80" s="54"/>
      <x:c r="M80" s="54"/>
      <x:c r="N80" s="54"/>
      <x:c r="O80" s="54"/>
      <x:c r="P80" s="54"/>
      <x:c r="Q80" s="54" t="str">
        <x:v>Jeśli ból ≥3/10 lub sen &lt;6 h: zamień na easy 30-45 min albo basen.</x:v>
      </x:c>
      <x:c r="V80" s="227"/>
      <x:c r="W80" s="228"/>
      <x:c r="X80" s="226"/>
      <x:c r="Y80" s="229"/>
      <x:c r="Z80" s="227"/>
      <x:c r="AA80" s="226" t="str">
        <x:f>IF(AND(L80="",M80="",N80="",Z80=""),"",IF(OR(M80&gt;=5,N80&lt;6,L80&gt;=8),"CZERWONY",IF(OR(M80&gt;=3,N80&lt;6.5,L80&gt;=7,Z80&lt;=4),"ŻÓŁTY","OK")))</x:f>
      </x:c>
      <x:c r="AB80" s="226" t="str">
        <x:f>IF(AA80="","",IF(AA80="OK","Realizuj plan normalnie.",IF(AA80="ŻÓŁTY","Skróć 10-30% albo zamień akcent na easy.", "STOP mocne bodźce: wolne/basen/Tacx Z1 48-72 h.")))</x:f>
      </x:c>
    </x:row>
    <x:row r="81">
      <x:c r="A81" s="53" t="n">
        <x:v>46260</x:v>
      </x:c>
      <x:c r="B81" s="54" t="str">
        <x:v>Środa</x:v>
      </x:c>
      <x:c r="C81" s="54" t="str">
        <x:v>Tydzień 3 do Oslo</x:v>
      </x:c>
      <x:c r="D81" s="54" t="str">
        <x:v>Start taperu</x:v>
      </x:c>
      <x:c r="E81" s="54" t="str">
        <x:v>Tacx Z1/Z2</x:v>
      </x:c>
      <x:c r="F81" s="54" t="str">
        <x:v>55-70 min Z2 155-185 W, kadencja 90-95. Bez sweet spotu w Fazie 1.</x:v>
      </x:c>
      <x:c r="G81" s="54" t="str">
        <x:v>ŁATWY</x:v>
      </x:c>
      <x:c r="H81" s="54" t="str">
        <x:v>Tlen bez dobijania nóg</x:v>
      </x:c>
      <x:c r="I81" s="54" t="str">
        <x:v>Jajka lub jogurt/skyr + owoce; kawa spokojnie.</x:v>
      </x:c>
      <x:c r="J81" s="54" t="str">
        <x:v>Zupa/kasza/ryż + warzywa + białko; nawodnienie.</x:v>
      </x:c>
      <x:c r="K81" s="54" t="str">
        <x:v>Lekka kolacja: ryż/ziemniaki + ryba/tofu/jaja + warzywa.</x:v>
      </x:c>
      <x:c r="L81" s="54"/>
      <x:c r="M81" s="54"/>
      <x:c r="N81" s="54"/>
      <x:c r="O81" s="54"/>
      <x:c r="P81" s="54"/>
      <x:c r="Q81" s="54" t="str">
        <x:v>Jeśli nogi ciężkie: skróć o 20-30% i trzymaj Z1/Z2.</x:v>
      </x:c>
      <x:c r="V81" s="227"/>
      <x:c r="W81" s="228"/>
      <x:c r="X81" s="226"/>
      <x:c r="Y81" s="229"/>
      <x:c r="Z81" s="227"/>
      <x:c r="AA81" s="226" t="str">
        <x:f>IF(AND(L81="",M81="",N81="",Z81=""),"",IF(OR(M81&gt;=5,N81&lt;6,L81&gt;=8),"CZERWONY",IF(OR(M81&gt;=3,N81&lt;6.5,L81&gt;=7,Z81&lt;=4),"ŻÓŁTY","OK")))</x:f>
      </x:c>
      <x:c r="AB81" s="226" t="str">
        <x:f>IF(AA81="","",IF(AA81="OK","Realizuj plan normalnie.",IF(AA81="ŻÓŁTY","Skróć 10-30% albo zamień akcent na easy.", "STOP mocne bodźce: wolne/basen/Tacx Z1 48-72 h.")))</x:f>
      </x:c>
    </x:row>
    <x:row r="82">
      <x:c r="A82" s="53" t="n">
        <x:v>46261</x:v>
      </x:c>
      <x:c r="B82" s="54" t="str">
        <x:v>Czwartek</x:v>
      </x:c>
      <x:c r="C82" s="54" t="str">
        <x:v>Tydzień 3 do Oslo</x:v>
      </x:c>
      <x:c r="D82" s="54" t="str">
        <x:v>Start taperu</x:v>
      </x:c>
      <x:c r="E82" s="54" t="str">
        <x:v>Bieg easy + BASEN</x:v>
      </x:c>
      <x:c r="F82" s="54" t="str">
        <x:v>RANO: 6-9 km easy 5:40-6:05/km + 10-15 min mobility. WIECZÓR: 800-1200 m luźno.</x:v>
      </x:c>
      <x:c r="G82" s="54" t="str">
        <x:v>ŁATWY</x:v>
      </x:c>
      <x:c r="H82" s="54" t="str">
        <x:v>Objętość nisko-kosztowa</x:v>
      </x:c>
      <x:c r="I82" s="54" t="str">
        <x:v>Jajka lub jogurt/skyr + owoce; kawa spokojnie.</x:v>
      </x:c>
      <x:c r="J82" s="54" t="str">
        <x:v>Zupa/kasza/ryż + warzywa + białko; nawodnienie.</x:v>
      </x:c>
      <x:c r="K82" s="54" t="str">
        <x:v>Lekka kolacja: ryż/ziemniaki + ryba/tofu/jaja + warzywa.</x:v>
      </x:c>
      <x:c r="L82" s="54"/>
      <x:c r="M82" s="54"/>
      <x:c r="N82" s="54"/>
      <x:c r="O82" s="54"/>
      <x:c r="P82" s="54"/>
      <x:c r="Q82" s="54" t="str">
        <x:v>Jeśli nogi ciężkie: skróć o 20-30% i trzymaj Z1/Z2.</x:v>
      </x:c>
      <x:c r="V82" s="227"/>
      <x:c r="W82" s="228"/>
      <x:c r="X82" s="226"/>
      <x:c r="Y82" s="229"/>
      <x:c r="Z82" s="227"/>
      <x:c r="AA82" s="226" t="str">
        <x:f>IF(AND(L82="",M82="",N82="",Z82=""),"",IF(OR(M82&gt;=5,N82&lt;6,L82&gt;=8),"CZERWONY",IF(OR(M82&gt;=3,N82&lt;6.5,L82&gt;=7,Z82&lt;=4),"ŻÓŁTY","OK")))</x:f>
      </x:c>
      <x:c r="AB82" s="226" t="str">
        <x:f>IF(AA82="","",IF(AA82="OK","Realizuj plan normalnie.",IF(AA82="ŻÓŁTY","Skróć 10-30% albo zamień akcent na easy.", "STOP mocne bodźce: wolne/basen/Tacx Z1 48-72 h.")))</x:f>
      </x:c>
    </x:row>
    <x:row r="83">
      <x:c r="A83" s="53" t="n">
        <x:v>46262</x:v>
      </x:c>
      <x:c r="B83" s="54" t="str">
        <x:v>Piątek</x:v>
      </x:c>
      <x:c r="C83" s="54" t="str">
        <x:v>Tydzień 3 do Oslo</x:v>
      </x:c>
      <x:c r="D83" s="54" t="str">
        <x:v>Start taperu</x:v>
      </x:c>
      <x:c r="E83" s="54" t="str">
        <x:v>BASEN / WOLNE</x:v>
      </x:c>
      <x:c r="F83" s="54" t="str">
        <x:v>1000-1400 m technika lub WOLNE, jeśli stopa/łydka sygnalizuje zmęczenie.</x:v>
      </x:c>
      <x:c r="G83" s="54" t="str">
        <x:v>REGENERACJA</x:v>
      </x:c>
      <x:c r="H83" s="54" t="str">
        <x:v>Technika i regeneracja</x:v>
      </x:c>
      <x:c r="I83" s="54" t="str">
        <x:v>Normalne śniadanie, bez wymuszonego ładowania.</x:v>
      </x:c>
      <x:c r="J83" s="54" t="str">
        <x:v>Warzywa + białko + spokojna porcja węgli.</x:v>
      </x:c>
      <x:c r="K83" s="54" t="str">
        <x:v>Lekko, prosto, sen ważniejszy niż idealne makro.</x:v>
      </x:c>
      <x:c r="L83" s="54"/>
      <x:c r="M83" s="54"/>
      <x:c r="N83" s="54"/>
      <x:c r="O83" s="54"/>
      <x:c r="P83" s="54"/>
      <x:c r="Q83" s="54" t="str">
        <x:v>Nie nadrabiaj zaległości. Regeneracja jest częścią planu.</x:v>
      </x:c>
      <x:c r="V83" s="227"/>
      <x:c r="W83" s="228"/>
      <x:c r="X83" s="226"/>
      <x:c r="Y83" s="229"/>
      <x:c r="Z83" s="227"/>
      <x:c r="AA83" s="226" t="str">
        <x:f>IF(AND(L83="",M83="",N83="",Z83=""),"",IF(OR(M83&gt;=5,N83&lt;6,L83&gt;=8),"CZERWONY",IF(OR(M83&gt;=3,N83&lt;6.5,L83&gt;=7,Z83&lt;=4),"ŻÓŁTY","OK")))</x:f>
      </x:c>
      <x:c r="AB83" s="226" t="str">
        <x:f>IF(AA83="","",IF(AA83="OK","Realizuj plan normalnie.",IF(AA83="ŻÓŁTY","Skróć 10-30% albo zamień akcent na easy.", "STOP mocne bodźce: wolne/basen/Tacx Z1 48-72 h.")))</x:f>
      </x:c>
    </x:row>
    <x:row r="84">
      <x:c r="A84" s="53" t="n">
        <x:v>46263</x:v>
      </x:c>
      <x:c r="B84" s="54" t="str">
        <x:v>Sobota</x:v>
      </x:c>
      <x:c r="C84" s="54" t="str">
        <x:v>Tydzień 3 do Oslo</x:v>
      </x:c>
      <x:c r="D84" s="54" t="str">
        <x:v>Start taperu</x:v>
      </x:c>
      <x:c r="E84" s="54" t="str">
        <x:v>Bieg long taper</x:v>
      </x:c>
      <x:c r="F84" s="54" t="str">
        <x:v>22-24 km: max 6 km w MP, reszta easy. Nie dokładać.</x:v>
      </x:c>
      <x:c r="G84" s="54" t="str">
        <x:v>LONG</x:v>
      </x:c>
      <x:c r="H84" s="54" t="str">
        <x:v>Bodziec bez zmęczenia</x:v>
      </x:c>
      <x:c r="I84" s="54" t="str">
        <x:v>3 h przed: sprawdzony posiłek węglowodanowy; bez nowych produktów.</x:v>
      </x:c>
      <x:c r="J84" s="54" t="str">
        <x:v>Po treningu: ryż/ziemniaki + białko + sól/elektrolity.</x:v>
      </x:c>
      <x:c r="K84" s="54" t="str">
        <x:v>Kolacja regeneracyjna: węgle + białko + warzywa; uzupełnij płyny.</x:v>
      </x:c>
      <x:c r="L84" s="54"/>
      <x:c r="M84" s="54"/>
      <x:c r="N84" s="54"/>
      <x:c r="O84" s="54"/>
      <x:c r="P84" s="54"/>
      <x:c r="Q84" s="54" t="str">
        <x:v>Jeśli ból narasta lub RPE &gt;7 przed połową: skróć, nie nadrabiaj kilometrów.</x:v>
      </x:c>
      <x:c r="V84" s="227"/>
      <x:c r="W84" s="228"/>
      <x:c r="X84" s="226"/>
      <x:c r="Y84" s="229"/>
      <x:c r="Z84" s="227"/>
      <x:c r="AA84" s="226" t="str">
        <x:f>IF(AND(L84="",M84="",N84="",Z84=""),"",IF(OR(M84&gt;=5,N84&lt;6,L84&gt;=8),"CZERWONY",IF(OR(M84&gt;=3,N84&lt;6.5,L84&gt;=7,Z84&lt;=4),"ŻÓŁTY","OK")))</x:f>
      </x:c>
      <x:c r="AB84" s="226" t="str">
        <x:f>IF(AA84="","",IF(AA84="OK","Realizuj plan normalnie.",IF(AA84="ŻÓŁTY","Skróć 10-30% albo zamień akcent na easy.", "STOP mocne bodźce: wolne/basen/Tacx Z1 48-72 h.")))</x:f>
      </x:c>
    </x:row>
    <x:row r="85">
      <x:c r="A85" s="71" t="n">
        <x:v>46264</x:v>
      </x:c>
      <x:c r="B85" s="72" t="str">
        <x:v>Niedziela</x:v>
      </x:c>
      <x:c r="C85" s="72" t="str">
        <x:v>Tydzień 3 do Oslo</x:v>
      </x:c>
      <x:c r="D85" s="72" t="str">
        <x:v>Start taperu</x:v>
      </x:c>
      <x:c r="E85" s="72" t="str">
        <x:v>WOLNE / spacer</x:v>
      </x:c>
      <x:c r="F85" s="72" t="str">
        <x:v>Pełny odpoczynek lub spacer 20-40 min. Kontrola bólu 0-10.</x:v>
      </x:c>
      <x:c r="G85" s="72" t="str">
        <x:v>WOLNE</x:v>
      </x:c>
      <x:c r="H85" s="72" t="str">
        <x:v>Adaptacja</x:v>
      </x:c>
      <x:c r="I85" s="72" t="str">
        <x:v>Normalne śniadanie, bez wymuszonego ładowania.</x:v>
      </x:c>
      <x:c r="J85" s="72" t="str">
        <x:v>Warzywa + białko + spokojna porcja węgli.</x:v>
      </x:c>
      <x:c r="K85" s="72" t="str">
        <x:v>Lekko, prosto, sen ważniejszy niż idealne makro.</x:v>
      </x:c>
      <x:c r="L85" s="72"/>
      <x:c r="M85" s="72"/>
      <x:c r="N85" s="72"/>
      <x:c r="O85" s="72"/>
      <x:c r="P85" s="72"/>
      <x:c r="Q85" s="72" t="str">
        <x:v>Nie nadrabiaj zaległości. Regeneracja jest częścią planu.</x:v>
      </x:c>
      <x:c r="V85" s="227"/>
      <x:c r="W85" s="228"/>
      <x:c r="X85" s="226"/>
      <x:c r="Y85" s="229"/>
      <x:c r="Z85" s="227"/>
      <x:c r="AA85" s="226" t="str">
        <x:f>IF(AND(L85="",M85="",N85="",Z85=""),"",IF(OR(M85&gt;=5,N85&lt;6,L85&gt;=8),"CZERWONY",IF(OR(M85&gt;=3,N85&lt;6.5,L85&gt;=7,Z85&lt;=4),"ŻÓŁTY","OK")))</x:f>
      </x:c>
      <x:c r="AB85" s="226" t="str">
        <x:f>IF(AA85="","",IF(AA85="OK","Realizuj plan normalnie.",IF(AA85="ŻÓŁTY","Skróć 10-30% albo zamień akcent na easy.", "STOP mocne bodźce: wolne/basen/Tacx Z1 48-72 h.")))</x:f>
      </x:c>
    </x:row>
    <x:row r="86">
      <x:c r="A86" s="71" t="n">
        <x:v>46265</x:v>
      </x:c>
      <x:c r="B86" s="72" t="str">
        <x:v>Poniedziałek</x:v>
      </x:c>
      <x:c r="C86" s="72" t="str">
        <x:v>Tydzień 2 do Oslo</x:v>
      </x:c>
      <x:c r="D86" s="72" t="str">
        <x:v>Taper, redukcja objętości</x:v>
      </x:c>
      <x:c r="E86" s="72" t="str">
        <x:v>WOLNE</x:v>
      </x:c>
      <x:c r="F86" s="72" t="str">
        <x:v>Dzień wolny. Mobilizacja bioder/łydek 10-15 min, sen, nawodnienie.</x:v>
      </x:c>
      <x:c r="G86" s="72" t="str">
        <x:v>WOLNE</x:v>
      </x:c>
      <x:c r="H86" s="72" t="str">
        <x:v>Regeneracja</x:v>
      </x:c>
      <x:c r="I86" s="72" t="str">
        <x:v>Normalne śniadanie, bez wymuszonego ładowania.</x:v>
      </x:c>
      <x:c r="J86" s="72" t="str">
        <x:v>Warzywa + białko + spokojna porcja węgli.</x:v>
      </x:c>
      <x:c r="K86" s="72" t="str">
        <x:v>Lekko, prosto, sen ważniejszy niż idealne makro.</x:v>
      </x:c>
      <x:c r="L86" s="72"/>
      <x:c r="M86" s="72"/>
      <x:c r="N86" s="72"/>
      <x:c r="O86" s="72"/>
      <x:c r="P86" s="72"/>
      <x:c r="Q86" s="72" t="str">
        <x:v>Nie nadrabiaj zaległości. Regeneracja jest częścią planu.</x:v>
      </x:c>
      <x:c r="V86" s="227"/>
      <x:c r="W86" s="228"/>
      <x:c r="X86" s="226"/>
      <x:c r="Y86" s="229"/>
      <x:c r="Z86" s="227"/>
      <x:c r="AA86" s="226" t="str">
        <x:f>IF(AND(L86="",M86="",N86="",Z86=""),"",IF(OR(M86&gt;=5,N86&lt;6,L86&gt;=8),"CZERWONY",IF(OR(M86&gt;=3,N86&lt;6.5,L86&gt;=7,Z86&lt;=4),"ŻÓŁTY","OK")))</x:f>
      </x:c>
      <x:c r="AB86" s="226" t="str">
        <x:f>IF(AA86="","",IF(AA86="OK","Realizuj plan normalnie.",IF(AA86="ŻÓŁTY","Skróć 10-30% albo zamień akcent na easy.", "STOP mocne bodźce: wolne/basen/Tacx Z1 48-72 h.")))</x:f>
      </x:c>
    </x:row>
    <x:row r="87" ht="26" customHeight="1">
      <x:c r="A87" s="148" t="n">
        <x:v>46266</x:v>
      </x:c>
      <x:c r="B87" s="149" t="str">
        <x:v>Wtorek</x:v>
      </x:c>
      <x:c r="C87" s="149" t="str">
        <x:v>Tydzień 2 do Oslo</x:v>
      </x:c>
      <x:c r="D87" s="154" t="str">
        <x:v>Taper, redukcja objętości</x:v>
      </x:c>
      <x:c r="E87" s="154" t="str">
        <x:v>Krótki akcent MP</x:v>
      </x:c>
      <x:c r="F87" s="154" t="str">
        <x:v>2 km easy + 3x2 km MP 4:58-5:02/km / 1 km easy + schłodzenie.</x:v>
      </x:c>
      <x:c r="G87" s="154" t="str">
        <x:v>MP/RACE PACE</x:v>
      </x:c>
      <x:c r="H87" s="154" t="str">
        <x:v>Czucie tempa</x:v>
      </x:c>
      <x:c r="I87" s="154" t="str">
        <x:v>2-3 h przed: kleik/ryż/wafle + miód/dżem; mało tłuszczu i błonnika.</x:v>
      </x:c>
      <x:c r="J87" s="154" t="str">
        <x:v>Ryż/ziemniaki/kasza + lekkie białko + warzywa.</x:v>
      </x:c>
      <x:c r="K87" s="154" t="str">
        <x:v>Po: 20-35 g białka + węgle; elektrolity.</x:v>
      </x:c>
      <x:c r="L87" s="154"/>
      <x:c r="M87" s="154"/>
      <x:c r="N87" s="154"/>
      <x:c r="O87" s="154"/>
      <x:c r="P87" s="154"/>
      <x:c r="Q87" s="154" t="str">
        <x:v>Jeśli ból ≥3/10 lub sen &lt;6 h: zamień na easy 30-45 min albo basen.</x:v>
      </x:c>
      <x:c r="R87" s="136" t="str">
        <x:v>WRZESIEŃ 2026</x:v>
      </x:c>
      <x:c r="V87" s="227"/>
      <x:c r="W87" s="228"/>
      <x:c r="X87" s="226"/>
      <x:c r="Y87" s="229"/>
      <x:c r="Z87" s="227"/>
      <x:c r="AA87" s="226" t="str">
        <x:f>IF(AND(L87="",M87="",N87="",Z87=""),"",IF(OR(M87&gt;=5,N87&lt;6,L87&gt;=8),"CZERWONY",IF(OR(M87&gt;=3,N87&lt;6.5,L87&gt;=7,Z87&lt;=4),"ŻÓŁTY","OK")))</x:f>
      </x:c>
      <x:c r="AB87" s="226" t="str">
        <x:f>IF(AA87="","",IF(AA87="OK","Realizuj plan normalnie.",IF(AA87="ŻÓŁTY","Skróć 10-30% albo zamień akcent na easy.", "STOP mocne bodźce: wolne/basen/Tacx Z1 48-72 h.")))</x:f>
      </x:c>
    </x:row>
    <x:row r="88">
      <x:c r="A88" s="113" t="n">
        <x:v>46267</x:v>
      </x:c>
      <x:c r="B88" s="107" t="str">
        <x:v>Środa</x:v>
      </x:c>
      <x:c r="C88" s="107" t="str">
        <x:v>Tydzień 2 do Oslo</x:v>
      </x:c>
      <x:c r="D88" s="107" t="str">
        <x:v>Taper, redukcja objętości</x:v>
      </x:c>
      <x:c r="E88" s="107" t="str">
        <x:v>Tacx Z1/Z2</x:v>
      </x:c>
      <x:c r="F88" s="107" t="str">
        <x:v>40-50 min luźno Z1/Z2 140-165 W. Regeneracja, nie trening mocy.</x:v>
      </x:c>
      <x:c r="G88" s="107" t="str">
        <x:v>REGENERACJA</x:v>
      </x:c>
      <x:c r="H88" s="107" t="str">
        <x:v>Tlen bez dobijania nóg</x:v>
      </x:c>
      <x:c r="I88" s="107" t="str">
        <x:v>Normalne śniadanie, bez wymuszonego ładowania.</x:v>
      </x:c>
      <x:c r="J88" s="107" t="str">
        <x:v>Warzywa + białko + spokojna porcja węgli.</x:v>
      </x:c>
      <x:c r="K88" s="107" t="str">
        <x:v>Lekko, prosto, sen ważniejszy niż idealne makro.</x:v>
      </x:c>
      <x:c r="L88" s="107"/>
      <x:c r="M88" s="107"/>
      <x:c r="N88" s="107"/>
      <x:c r="O88" s="107"/>
      <x:c r="P88" s="107"/>
      <x:c r="Q88" s="107" t="str">
        <x:v>Nie nadrabiaj zaległości. Regeneracja jest częścią planu.</x:v>
      </x:c>
      <x:c r="V88" s="227"/>
      <x:c r="W88" s="228"/>
      <x:c r="X88" s="226"/>
      <x:c r="Y88" s="229"/>
      <x:c r="Z88" s="227"/>
      <x:c r="AA88" s="226" t="str">
        <x:f>IF(AND(L88="",M88="",N88="",Z88=""),"",IF(OR(M88&gt;=5,N88&lt;6,L88&gt;=8),"CZERWONY",IF(OR(M88&gt;=3,N88&lt;6.5,L88&gt;=7,Z88&lt;=4),"ŻÓŁTY","OK")))</x:f>
      </x:c>
      <x:c r="AB88" s="226" t="str">
        <x:f>IF(AA88="","",IF(AA88="OK","Realizuj plan normalnie.",IF(AA88="ŻÓŁTY","Skróć 10-30% albo zamień akcent na easy.", "STOP mocne bodźce: wolne/basen/Tacx Z1 48-72 h.")))</x:f>
      </x:c>
    </x:row>
    <x:row r="89">
      <x:c r="A89" s="77" t="n">
        <x:v>46268</x:v>
      </x:c>
      <x:c r="B89" s="78" t="str">
        <x:v>Czwartek</x:v>
      </x:c>
      <x:c r="C89" s="78" t="str">
        <x:v>Tydzień 2 do Oslo</x:v>
      </x:c>
      <x:c r="D89" s="78" t="str">
        <x:v>Taper, redukcja objętości</x:v>
      </x:c>
      <x:c r="E89" s="78" t="str">
        <x:v>Bieg easy + BASEN</x:v>
      </x:c>
      <x:c r="F89" s="78" t="str">
        <x:v>RANO: 6-9 km easy 5:40-6:05/km + 10-15 min mobility. WIECZÓR: 800-1200 m luźno.</x:v>
      </x:c>
      <x:c r="G89" s="78" t="str">
        <x:v>ŁATWY</x:v>
      </x:c>
      <x:c r="H89" s="78" t="str">
        <x:v>Objętość nisko-kosztowa</x:v>
      </x:c>
      <x:c r="I89" s="78" t="str">
        <x:v>Jajka lub jogurt/skyr + owoce; kawa spokojnie.</x:v>
      </x:c>
      <x:c r="J89" s="78" t="str">
        <x:v>Zupa/kasza/ryż + warzywa + białko; nawodnienie.</x:v>
      </x:c>
      <x:c r="K89" s="78" t="str">
        <x:v>Lekka kolacja: ryż/ziemniaki + ryba/tofu/jaja + warzywa.</x:v>
      </x:c>
      <x:c r="L89" s="78"/>
      <x:c r="M89" s="78"/>
      <x:c r="N89" s="78"/>
      <x:c r="O89" s="78"/>
      <x:c r="P89" s="78"/>
      <x:c r="Q89" s="78" t="str">
        <x:v>Jeśli nogi ciężkie: skróć o 20-30% i trzymaj Z1/Z2.</x:v>
      </x:c>
      <x:c r="V89" s="227"/>
      <x:c r="W89" s="228"/>
      <x:c r="X89" s="226"/>
      <x:c r="Y89" s="229"/>
      <x:c r="Z89" s="227"/>
      <x:c r="AA89" s="226" t="str">
        <x:f>IF(AND(L89="",M89="",N89="",Z89=""),"",IF(OR(M89&gt;=5,N89&lt;6,L89&gt;=8),"CZERWONY",IF(OR(M89&gt;=3,N89&lt;6.5,L89&gt;=7,Z89&lt;=4),"ŻÓŁTY","OK")))</x:f>
      </x:c>
      <x:c r="AB89" s="226" t="str">
        <x:f>IF(AA89="","",IF(AA89="OK","Realizuj plan normalnie.",IF(AA89="ŻÓŁTY","Skróć 10-30% albo zamień akcent na easy.", "STOP mocne bodźce: wolne/basen/Tacx Z1 48-72 h.")))</x:f>
      </x:c>
    </x:row>
    <x:row r="90">
      <x:c r="A90" s="77" t="n">
        <x:v>46269</x:v>
      </x:c>
      <x:c r="B90" s="78" t="str">
        <x:v>Piątek</x:v>
      </x:c>
      <x:c r="C90" s="78" t="str">
        <x:v>Tydzień 2 do Oslo</x:v>
      </x:c>
      <x:c r="D90" s="78" t="str">
        <x:v>Taper, redukcja objętości</x:v>
      </x:c>
      <x:c r="E90" s="78" t="str">
        <x:v>BASEN / WOLNE</x:v>
      </x:c>
      <x:c r="F90" s="78" t="str">
        <x:v>1000-1400 m technika lub WOLNE, jeśli stopa/łydka sygnalizuje zmęczenie.</x:v>
      </x:c>
      <x:c r="G90" s="78" t="str">
        <x:v>REGENERACJA</x:v>
      </x:c>
      <x:c r="H90" s="78" t="str">
        <x:v>Technika i regeneracja</x:v>
      </x:c>
      <x:c r="I90" s="78" t="str">
        <x:v>Normalne śniadanie, bez wymuszonego ładowania.</x:v>
      </x:c>
      <x:c r="J90" s="78" t="str">
        <x:v>Warzywa + białko + spokojna porcja węgli.</x:v>
      </x:c>
      <x:c r="K90" s="78" t="str">
        <x:v>Lekko, prosto, sen ważniejszy niż idealne makro.</x:v>
      </x:c>
      <x:c r="L90" s="78"/>
      <x:c r="M90" s="78"/>
      <x:c r="N90" s="78"/>
      <x:c r="O90" s="78"/>
      <x:c r="P90" s="78"/>
      <x:c r="Q90" s="78" t="str">
        <x:v>Nie nadrabiaj zaległości. Regeneracja jest częścią planu.</x:v>
      </x:c>
      <x:c r="V90" s="227"/>
      <x:c r="W90" s="228"/>
      <x:c r="X90" s="226"/>
      <x:c r="Y90" s="229"/>
      <x:c r="Z90" s="227"/>
      <x:c r="AA90" s="226" t="str">
        <x:f>IF(AND(L90="",M90="",N90="",Z90=""),"",IF(OR(M90&gt;=5,N90&lt;6,L90&gt;=8),"CZERWONY",IF(OR(M90&gt;=3,N90&lt;6.5,L90&gt;=7,Z90&lt;=4),"ŻÓŁTY","OK")))</x:f>
      </x:c>
      <x:c r="AB90" s="226" t="str">
        <x:f>IF(AA90="","",IF(AA90="OK","Realizuj plan normalnie.",IF(AA90="ŻÓŁTY","Skróć 10-30% albo zamień akcent na easy.", "STOP mocne bodźce: wolne/basen/Tacx Z1 48-72 h.")))</x:f>
      </x:c>
    </x:row>
    <x:row r="91">
      <x:c r="A91" s="65" t="n">
        <x:v>46270</x:v>
      </x:c>
      <x:c r="B91" s="66" t="str">
        <x:v>Sobota</x:v>
      </x:c>
      <x:c r="C91" s="66" t="str">
        <x:v>Tydzień 2 do Oslo</x:v>
      </x:c>
      <x:c r="D91" s="66" t="str">
        <x:v>Taper, redukcja objętości</x:v>
      </x:c>
      <x:c r="E91" s="66" t="str">
        <x:v>Bieg long krótki</x:v>
      </x:c>
      <x:c r="F91" s="66" t="str">
        <x:v>16-18 km easy 5:40-6:00/km. Ostatni dłuższy bieg, bez testowania formy.</x:v>
      </x:c>
      <x:c r="G91" s="66" t="str">
        <x:v>LONG</x:v>
      </x:c>
      <x:c r="H91" s="66" t="str">
        <x:v>Utrzymanie tlenowe</x:v>
      </x:c>
      <x:c r="I91" s="66" t="str">
        <x:v>3 h przed: sprawdzony posiłek węglowodanowy; bez nowych produktów.</x:v>
      </x:c>
      <x:c r="J91" s="66" t="str">
        <x:v>Po treningu: ryż/ziemniaki + białko + sól/elektrolity.</x:v>
      </x:c>
      <x:c r="K91" s="66" t="str">
        <x:v>Kolacja regeneracyjna: węgle + białko + warzywa; uzupełnij płyny.</x:v>
      </x:c>
      <x:c r="L91" s="66"/>
      <x:c r="M91" s="66"/>
      <x:c r="N91" s="66"/>
      <x:c r="O91" s="66"/>
      <x:c r="P91" s="66"/>
      <x:c r="Q91" s="66" t="str">
        <x:v>Jeśli ból narasta lub RPE &gt;7 przed połową: skróć, nie nadrabiaj kilometrów.</x:v>
      </x:c>
      <x:c r="V91" s="227"/>
      <x:c r="W91" s="228"/>
      <x:c r="X91" s="226"/>
      <x:c r="Y91" s="229"/>
      <x:c r="Z91" s="227"/>
      <x:c r="AA91" s="226" t="str">
        <x:f>IF(AND(L91="",M91="",N91="",Z91=""),"",IF(OR(M91&gt;=5,N91&lt;6,L91&gt;=8),"CZERWONY",IF(OR(M91&gt;=3,N91&lt;6.5,L91&gt;=7,Z91&lt;=4),"ŻÓŁTY","OK")))</x:f>
      </x:c>
      <x:c r="AB91" s="226" t="str">
        <x:f>IF(AA91="","",IF(AA91="OK","Realizuj plan normalnie.",IF(AA91="ŻÓŁTY","Skróć 10-30% albo zamień akcent na easy.", "STOP mocne bodźce: wolne/basen/Tacx Z1 48-72 h.")))</x:f>
      </x:c>
    </x:row>
    <x:row r="92">
      <x:c r="A92" s="71" t="n">
        <x:v>46271</x:v>
      </x:c>
      <x:c r="B92" s="72" t="str">
        <x:v>Niedziela</x:v>
      </x:c>
      <x:c r="C92" s="72" t="str">
        <x:v>Tydzień 2 do Oslo</x:v>
      </x:c>
      <x:c r="D92" s="72" t="str">
        <x:v>Taper, redukcja objętości</x:v>
      </x:c>
      <x:c r="E92" s="72" t="str">
        <x:v>WOLNE / spacer</x:v>
      </x:c>
      <x:c r="F92" s="72" t="str">
        <x:v>Pełny odpoczynek lub spacer 20-40 min. Kontrola bólu 0-10.</x:v>
      </x:c>
      <x:c r="G92" s="72" t="str">
        <x:v>WOLNE</x:v>
      </x:c>
      <x:c r="H92" s="72" t="str">
        <x:v>Adaptacja</x:v>
      </x:c>
      <x:c r="I92" s="72" t="str">
        <x:v>Normalne śniadanie, bez wymuszonego ładowania.</x:v>
      </x:c>
      <x:c r="J92" s="72" t="str">
        <x:v>Warzywa + białko + spokojna porcja węgli.</x:v>
      </x:c>
      <x:c r="K92" s="72" t="str">
        <x:v>Lekko, prosto, sen ważniejszy niż idealne makro.</x:v>
      </x:c>
      <x:c r="L92" s="72"/>
      <x:c r="M92" s="72"/>
      <x:c r="N92" s="72"/>
      <x:c r="O92" s="72"/>
      <x:c r="P92" s="72"/>
      <x:c r="Q92" s="72" t="str">
        <x:v>Nie nadrabiaj zaległości. Regeneracja jest częścią planu.</x:v>
      </x:c>
      <x:c r="V92" s="227"/>
      <x:c r="W92" s="228"/>
      <x:c r="X92" s="226"/>
      <x:c r="Y92" s="229"/>
      <x:c r="Z92" s="227"/>
      <x:c r="AA92" s="226" t="str">
        <x:f>IF(AND(L92="",M92="",N92="",Z92=""),"",IF(OR(M92&gt;=5,N92&lt;6,L92&gt;=8),"CZERWONY",IF(OR(M92&gt;=3,N92&lt;6.5,L92&gt;=7,Z92&lt;=4),"ŻÓŁTY","OK")))</x:f>
      </x:c>
      <x:c r="AB92" s="226" t="str">
        <x:f>IF(AA92="","",IF(AA92="OK","Realizuj plan normalnie.",IF(AA92="ŻÓŁTY","Skróć 10-30% albo zamień akcent na easy.", "STOP mocne bodźce: wolne/basen/Tacx Z1 48-72 h.")))</x:f>
      </x:c>
    </x:row>
    <x:row r="93">
      <x:c r="A93" s="71" t="n">
        <x:v>46272</x:v>
      </x:c>
      <x:c r="B93" s="72" t="str">
        <x:v>Poniedziałek</x:v>
      </x:c>
      <x:c r="C93" s="72" t="str">
        <x:v>Tydzień 1 do Oslo</x:v>
      </x:c>
      <x:c r="D93" s="72" t="str">
        <x:v>Tydzień startowy</x:v>
      </x:c>
      <x:c r="E93" s="72" t="str">
        <x:v>WOLNE</x:v>
      </x:c>
      <x:c r="F93" s="72" t="str">
        <x:v>Pełna regeneracja przedstartowa. Zaczynamy ładowanie węgli bez eksperymentów.</x:v>
      </x:c>
      <x:c r="G93" s="72" t="str">
        <x:v>WOLNE</x:v>
      </x:c>
      <x:c r="H93" s="72" t="str">
        <x:v>Świeżość</x:v>
      </x:c>
      <x:c r="I93" s="72" t="str">
        <x:v>Normalne śniadanie, bez wymuszonego ładowania.</x:v>
      </x:c>
      <x:c r="J93" s="72" t="str">
        <x:v>Warzywa + białko + spokojna porcja węgli.</x:v>
      </x:c>
      <x:c r="K93" s="72" t="str">
        <x:v>Lekko, prosto, sen ważniejszy niż idealne makro.</x:v>
      </x:c>
      <x:c r="L93" s="72"/>
      <x:c r="M93" s="72"/>
      <x:c r="N93" s="72"/>
      <x:c r="O93" s="72"/>
      <x:c r="P93" s="72"/>
      <x:c r="Q93" s="72" t="str">
        <x:v>Nie nadrabiaj zaległości. Regeneracja jest częścią planu.</x:v>
      </x:c>
      <x:c r="V93" s="227"/>
      <x:c r="W93" s="228"/>
      <x:c r="X93" s="226"/>
      <x:c r="Y93" s="229"/>
      <x:c r="Z93" s="227"/>
      <x:c r="AA93" s="226" t="str">
        <x:f>IF(AND(L93="",M93="",N93="",Z93=""),"",IF(OR(M93&gt;=5,N93&lt;6,L93&gt;=8),"CZERWONY",IF(OR(M93&gt;=3,N93&lt;6.5,L93&gt;=7,Z93&lt;=4),"ŻÓŁTY","OK")))</x:f>
      </x:c>
      <x:c r="AB93" s="226" t="str">
        <x:f>IF(AA93="","",IF(AA93="OK","Realizuj plan normalnie.",IF(AA93="ŻÓŁTY","Skróć 10-30% albo zamień akcent na easy.", "STOP mocne bodźce: wolne/basen/Tacx Z1 48-72 h.")))</x:f>
      </x:c>
    </x:row>
    <x:row r="94">
      <x:c r="A94" s="53" t="n">
        <x:v>46273</x:v>
      </x:c>
      <x:c r="B94" s="54" t="str">
        <x:v>Wtorek</x:v>
      </x:c>
      <x:c r="C94" s="54" t="str">
        <x:v>Tydzień 1 do Oslo</x:v>
      </x:c>
      <x:c r="D94" s="54" t="str">
        <x:v>Tydzień startowy</x:v>
      </x:c>
      <x:c r="E94" s="54" t="str">
        <x:v>Bieg rozruch</x:v>
      </x:c>
      <x:c r="F94" s="54" t="str">
        <x:v>5-6 km easy + 4x20 s rytmy. Nogi mają się obudzić, nie zmęczyć.</x:v>
      </x:c>
      <x:c r="G94" s="54" t="str">
        <x:v>ŁATWY</x:v>
      </x:c>
      <x:c r="H94" s="54" t="str">
        <x:v>Świeżość</x:v>
      </x:c>
      <x:c r="I94" s="54" t="str">
        <x:v>Jajka lub jogurt/skyr + owoce; kawa spokojnie.</x:v>
      </x:c>
      <x:c r="J94" s="54" t="str">
        <x:v>Zupa/kasza/ryż + warzywa + białko; nawodnienie.</x:v>
      </x:c>
      <x:c r="K94" s="54" t="str">
        <x:v>Lekka kolacja: ryż/ziemniaki + ryba/tofu/jaja + warzywa.</x:v>
      </x:c>
      <x:c r="L94" s="54"/>
      <x:c r="M94" s="54"/>
      <x:c r="N94" s="54"/>
      <x:c r="O94" s="54"/>
      <x:c r="P94" s="54"/>
      <x:c r="Q94" s="54" t="str">
        <x:v>Jeśli nogi ciężkie: skróć o 20-30% i trzymaj Z1/Z2.</x:v>
      </x:c>
      <x:c r="V94" s="227"/>
      <x:c r="W94" s="228"/>
      <x:c r="X94" s="226"/>
      <x:c r="Y94" s="229"/>
      <x:c r="Z94" s="227"/>
      <x:c r="AA94" s="226" t="str">
        <x:f>IF(AND(L94="",M94="",N94="",Z94=""),"",IF(OR(M94&gt;=5,N94&lt;6,L94&gt;=8),"CZERWONY",IF(OR(M94&gt;=3,N94&lt;6.5,L94&gt;=7,Z94&lt;=4),"ŻÓŁTY","OK")))</x:f>
      </x:c>
      <x:c r="AB94" s="226" t="str">
        <x:f>IF(AA94="","",IF(AA94="OK","Realizuj plan normalnie.",IF(AA94="ŻÓŁTY","Skróć 10-30% albo zamień akcent na easy.", "STOP mocne bodźce: wolne/basen/Tacx Z1 48-72 h.")))</x:f>
      </x:c>
    </x:row>
    <x:row r="95">
      <x:c r="A95" s="53" t="n">
        <x:v>46274</x:v>
      </x:c>
      <x:c r="B95" s="54" t="str">
        <x:v>Środa</x:v>
      </x:c>
      <x:c r="C95" s="54" t="str">
        <x:v>Tydzień 1 do Oslo</x:v>
      </x:c>
      <x:c r="D95" s="54" t="str">
        <x:v>Tydzień startowy</x:v>
      </x:c>
      <x:c r="E95" s="54" t="str">
        <x:v>Tacx rozruch</x:v>
      </x:c>
      <x:c r="F95" s="54" t="str">
        <x:v>30-35 min bardzo lekko 135-150 W, kadencja 90-95. Tylko rozruszanie.</x:v>
      </x:c>
      <x:c r="G95" s="54" t="str">
        <x:v>REGENERACJA</x:v>
      </x:c>
      <x:c r="H95" s="54" t="str">
        <x:v>Krążenie</x:v>
      </x:c>
      <x:c r="I95" s="54" t="str">
        <x:v>Normalne śniadanie, bez wymuszonego ładowania.</x:v>
      </x:c>
      <x:c r="J95" s="54" t="str">
        <x:v>Warzywa + białko + spokojna porcja węgli.</x:v>
      </x:c>
      <x:c r="K95" s="54" t="str">
        <x:v>Lekko, prosto, sen ważniejszy niż idealne makro.</x:v>
      </x:c>
      <x:c r="L95" s="54"/>
      <x:c r="M95" s="54"/>
      <x:c r="N95" s="54"/>
      <x:c r="O95" s="54"/>
      <x:c r="P95" s="54"/>
      <x:c r="Q95" s="54" t="str">
        <x:v>Nie nadrabiaj zaległości. Regeneracja jest częścią planu.</x:v>
      </x:c>
      <x:c r="V95" s="227"/>
      <x:c r="W95" s="228"/>
      <x:c r="X95" s="226"/>
      <x:c r="Y95" s="229"/>
      <x:c r="Z95" s="227"/>
      <x:c r="AA95" s="226" t="str">
        <x:f>IF(AND(L95="",M95="",N95="",Z95=""),"",IF(OR(M95&gt;=5,N95&lt;6,L95&gt;=8),"CZERWONY",IF(OR(M95&gt;=3,N95&lt;6.5,L95&gt;=7,Z95&lt;=4),"ŻÓŁTY","OK")))</x:f>
      </x:c>
      <x:c r="AB95" s="226" t="str">
        <x:f>IF(AA95="","",IF(AA95="OK","Realizuj plan normalnie.",IF(AA95="ŻÓŁTY","Skróć 10-30% albo zamień akcent na easy.", "STOP mocne bodźce: wolne/basen/Tacx Z1 48-72 h.")))</x:f>
      </x:c>
    </x:row>
    <x:row r="96">
      <x:c r="A96" s="53" t="n">
        <x:v>46275</x:v>
      </x:c>
      <x:c r="B96" s="54" t="str">
        <x:v>Czwartek</x:v>
      </x:c>
      <x:c r="C96" s="54" t="str">
        <x:v>Tydzień 1 do Oslo</x:v>
      </x:c>
      <x:c r="D96" s="54" t="str">
        <x:v>Tydzień startowy</x:v>
      </x:c>
      <x:c r="E96" s="54" t="str">
        <x:v>Bieg rozruch</x:v>
      </x:c>
      <x:c r="F96" s="54" t="str">
        <x:v>3-4 km truchtu + 3x15 s rytmy. Sprawdzenie butów, skarpet i żeli.</x:v>
      </x:c>
      <x:c r="G96" s="54" t="str">
        <x:v>ŁATWY</x:v>
      </x:c>
      <x:c r="H96" s="54" t="str">
        <x:v>Pobudzenie</x:v>
      </x:c>
      <x:c r="I96" s="54" t="str">
        <x:v>Jajka lub jogurt/skyr + owoce; kawa spokojnie.</x:v>
      </x:c>
      <x:c r="J96" s="54" t="str">
        <x:v>Zupa/kasza/ryż + warzywa + białko; nawodnienie.</x:v>
      </x:c>
      <x:c r="K96" s="54" t="str">
        <x:v>Lekka kolacja: ryż/ziemniaki + ryba/tofu/jaja + warzywa.</x:v>
      </x:c>
      <x:c r="L96" s="54"/>
      <x:c r="M96" s="54"/>
      <x:c r="N96" s="54"/>
      <x:c r="O96" s="54"/>
      <x:c r="P96" s="54"/>
      <x:c r="Q96" s="54" t="str">
        <x:v>Jeśli nogi ciężkie: skróć o 20-30% i trzymaj Z1/Z2.</x:v>
      </x:c>
      <x:c r="V96" s="227"/>
      <x:c r="W96" s="228"/>
      <x:c r="X96" s="226"/>
      <x:c r="Y96" s="229"/>
      <x:c r="Z96" s="227"/>
      <x:c r="AA96" s="226" t="str">
        <x:f>IF(AND(L96="",M96="",N96="",Z96=""),"",IF(OR(M96&gt;=5,N96&lt;6,L96&gt;=8),"CZERWONY",IF(OR(M96&gt;=3,N96&lt;6.5,L96&gt;=7,Z96&lt;=4),"ŻÓŁTY","OK")))</x:f>
      </x:c>
      <x:c r="AB96" s="226" t="str">
        <x:f>IF(AA96="","",IF(AA96="OK","Realizuj plan normalnie.",IF(AA96="ŻÓŁTY","Skróć 10-30% albo zamień akcent na easy.", "STOP mocne bodźce: wolne/basen/Tacx Z1 48-72 h.")))</x:f>
      </x:c>
    </x:row>
    <x:row r="97">
      <x:c r="A97" s="71" t="n">
        <x:v>46276</x:v>
      </x:c>
      <x:c r="B97" s="72" t="str">
        <x:v>Piątek</x:v>
      </x:c>
      <x:c r="C97" s="72" t="str">
        <x:v>Tydzień 1 do Oslo</x:v>
      </x:c>
      <x:c r="D97" s="72" t="str">
        <x:v>Tydzień startowy</x:v>
      </x:c>
      <x:c r="E97" s="72" t="str">
        <x:v>WOLNE / logistyka</x:v>
      </x:c>
      <x:c r="F97" s="72" t="str">
        <x:v>Odbiór pakietu, nawodnienie, proste węgle, nogi wysoko. Zero chodzenia dla chodzenia.</x:v>
      </x:c>
      <x:c r="G97" s="72" t="str">
        <x:v>WOLNE</x:v>
      </x:c>
      <x:c r="H97" s="72" t="str">
        <x:v>Logistyka</x:v>
      </x:c>
      <x:c r="I97" s="72" t="str">
        <x:v>Normalne śniadanie, bez wymuszonego ładowania.</x:v>
      </x:c>
      <x:c r="J97" s="72" t="str">
        <x:v>Warzywa + białko + spokojna porcja węgli.</x:v>
      </x:c>
      <x:c r="K97" s="72" t="str">
        <x:v>Lekko, prosto, sen ważniejszy niż idealne makro.</x:v>
      </x:c>
      <x:c r="L97" s="72"/>
      <x:c r="M97" s="72"/>
      <x:c r="N97" s="72"/>
      <x:c r="O97" s="72"/>
      <x:c r="P97" s="72"/>
      <x:c r="Q97" s="72" t="str">
        <x:v>Nie nadrabiaj zaległości. Regeneracja jest częścią planu.</x:v>
      </x:c>
      <x:c r="V97" s="227"/>
      <x:c r="W97" s="228"/>
      <x:c r="X97" s="226"/>
      <x:c r="Y97" s="229"/>
      <x:c r="Z97" s="227"/>
      <x:c r="AA97" s="226" t="str">
        <x:f>IF(AND(L97="",M97="",N97="",Z97=""),"",IF(OR(M97&gt;=5,N97&lt;6,L97&gt;=8),"CZERWONY",IF(OR(M97&gt;=3,N97&lt;6.5,L97&gt;=7,Z97&lt;=4),"ŻÓŁTY","OK")))</x:f>
      </x:c>
      <x:c r="AB97" s="226" t="str">
        <x:f>IF(AA97="","",IF(AA97="OK","Realizuj plan normalnie.",IF(AA97="ŻÓŁTY","Skróć 10-30% albo zamień akcent na easy.", "STOP mocne bodźce: wolne/basen/Tacx Z1 48-72 h.")))</x:f>
      </x:c>
    </x:row>
    <x:row r="98">
      <x:c r="A98" s="53" t="n">
        <x:v>46277</x:v>
      </x:c>
      <x:c r="B98" s="54" t="str">
        <x:v>Sobota</x:v>
      </x:c>
      <x:c r="C98" s="54" t="str">
        <x:v>Tydzień 1 do Oslo</x:v>
      </x:c>
      <x:c r="D98" s="54" t="str">
        <x:v>Tydzień startowy</x:v>
      </x:c>
      <x:c r="E98" s="54" t="str">
        <x:v>START: OSLO MARATHON</x:v>
      </x:c>
      <x:c r="F98" s="54" t="str">
        <x:v>42,195 km. Cel 3:30 = ok. 4:58/km. Start 5:00-5:03/km, do 30 km kontrola tętna i paliwa.</x:v>
      </x:c>
      <x:c r="G98" s="54" t="str">
        <x:v>TEST/START</x:v>
      </x:c>
      <x:c r="H98" s="54" t="str">
        <x:v>Realizacja 3:30</x:v>
      </x:c>
      <x:c r="I98" s="54" t="str">
        <x:v>3 h przed: sprawdzony posiłek węglowodanowy; bez nowych produktów.</x:v>
      </x:c>
      <x:c r="J98" s="54" t="str">
        <x:v>Po treningu: ryż/ziemniaki + białko + sól/elektrolity.</x:v>
      </x:c>
      <x:c r="K98" s="54" t="str">
        <x:v>Kolacja regeneracyjna: węgle + białko + warzywa; uzupełnij płyny.</x:v>
      </x:c>
      <x:c r="L98" s="54"/>
      <x:c r="M98" s="54"/>
      <x:c r="N98" s="54"/>
      <x:c r="O98" s="54"/>
      <x:c r="P98" s="54"/>
      <x:c r="Q98" s="54" t="str">
        <x:v>Jeśli ból ≥3/10 lub sen &lt;6 h: zamień na easy 30-45 min albo basen.</x:v>
      </x:c>
      <x:c r="V98" s="227"/>
      <x:c r="W98" s="228"/>
      <x:c r="X98" s="226"/>
      <x:c r="Y98" s="229"/>
      <x:c r="Z98" s="227"/>
      <x:c r="AA98" s="226" t="str">
        <x:f>IF(AND(L98="",M98="",N98="",Z98=""),"",IF(OR(M98&gt;=5,N98&lt;6,L98&gt;=8),"CZERWONY",IF(OR(M98&gt;=3,N98&lt;6.5,L98&gt;=7,Z98&lt;=4),"ŻÓŁTY","OK")))</x:f>
      </x:c>
      <x:c r="AB98" s="226" t="str">
        <x:f>IF(AA98="","",IF(AA98="OK","Realizuj plan normalnie.",IF(AA98="ŻÓŁTY","Skróć 10-30% albo zamień akcent na easy.", "STOP mocne bodźce: wolne/basen/Tacx Z1 48-72 h.")))</x:f>
      </x:c>
    </x:row>
    <x:row r="99">
      <x:c r="A99" s="71" t="n">
        <x:v>46278</x:v>
      </x:c>
      <x:c r="B99" s="72" t="str">
        <x:v>Niedziela</x:v>
      </x:c>
      <x:c r="C99" s="72" t="str">
        <x:v>Tydzień 1 do Oslo</x:v>
      </x:c>
      <x:c r="D99" s="72" t="str">
        <x:v>Tydzień startowy</x:v>
      </x:c>
      <x:c r="E99" s="72" t="str">
        <x:v>WOLNE po starcie</x:v>
      </x:c>
      <x:c r="F99" s="72" t="str">
        <x:v>Spacer 15-30 min, jedzenie, płyny, sen. Zero treningu strukturalnego.</x:v>
      </x:c>
      <x:c r="G99" s="72" t="str">
        <x:v>WOLNE</x:v>
      </x:c>
      <x:c r="H99" s="72" t="str">
        <x:v>Regeneracja po maratonie</x:v>
      </x:c>
      <x:c r="I99" s="72" t="str">
        <x:v>Normalne śniadanie, bez wymuszonego ładowania.</x:v>
      </x:c>
      <x:c r="J99" s="72" t="str">
        <x:v>Warzywa + białko + spokojna porcja węgli.</x:v>
      </x:c>
      <x:c r="K99" s="72" t="str">
        <x:v>Lekko, prosto, sen ważniejszy niż idealne makro.</x:v>
      </x:c>
      <x:c r="L99" s="72"/>
      <x:c r="M99" s="72"/>
      <x:c r="N99" s="72"/>
      <x:c r="O99" s="72"/>
      <x:c r="P99" s="72"/>
      <x:c r="Q99" s="72" t="str">
        <x:v>Nie nadrabiaj zaległości. Regeneracja jest częścią planu.</x:v>
      </x:c>
      <x:c r="V99" s="227"/>
      <x:c r="W99" s="228"/>
      <x:c r="X99" s="226"/>
      <x:c r="Y99" s="229"/>
      <x:c r="Z99" s="227"/>
      <x:c r="AA99" s="226" t="str">
        <x:f>IF(AND(L99="",M99="",N99="",Z99=""),"",IF(OR(M99&gt;=5,N99&lt;6,L99&gt;=8),"CZERWONY",IF(OR(M99&gt;=3,N99&lt;6.5,L99&gt;=7,Z99&lt;=4),"ŻÓŁTY","OK")))</x:f>
      </x:c>
      <x:c r="AB99" s="226" t="str">
        <x:f>IF(AA99="","",IF(AA99="OK","Realizuj plan normalnie.",IF(AA99="ŻÓŁTY","Skróć 10-30% albo zamień akcent na easy.", "STOP mocne bodźce: wolne/basen/Tacx Z1 48-72 h.")))</x:f>
      </x:c>
    </x:row>
  </x:sheetData>
  <x:mergeCells>
    <x:mergeCell ref="A1:Q1"/>
    <x:mergeCell ref="A2:Q2"/>
    <x:mergeCell ref="S3:U3"/>
  </x:mergeCells>
  <x:conditionalFormatting sqref="L5:L99">
    <x:cfRule type="cellIs" dxfId="29" priority="1" operator="greaterThanOrEqual">
      <x:formula>8</x:formula>
    </x:cfRule>
    <x:cfRule type="expression" dxfId="30" priority="2">
      <x:formula>AND(L5&gt;=6,L5&lt;8)</x:formula>
    </x:cfRule>
  </x:conditionalFormatting>
  <x:conditionalFormatting sqref="M5:M99">
    <x:cfRule type="cellIs" dxfId="31" priority="3" operator="greaterThanOrEqual">
      <x:formula>5</x:formula>
    </x:cfRule>
    <x:cfRule type="expression" dxfId="32" priority="4">
      <x:formula>AND(M5&gt;=3,M5&lt;5)</x:formula>
    </x:cfRule>
  </x:conditionalFormatting>
  <x:conditionalFormatting sqref="N5:N99">
    <x:cfRule type="cellIs" dxfId="33" priority="5" operator="lessThan">
      <x:formula>6</x:formula>
    </x:cfRule>
  </x:conditionalFormatting>
  <x:conditionalFormatting sqref="AA5:AA99">
    <x:cfRule type="expression" dxfId="39" priority="6">
      <x:formula>AA5="OK"</x:formula>
    </x:cfRule>
    <x:cfRule type="expression" dxfId="40" priority="7">
      <x:formula>AA5="ŻÓŁTY"</x:formula>
    </x:cfRule>
    <x:cfRule type="expression" dxfId="41" priority="8">
      <x:formula>AA5="CZERWONY"</x:formula>
    </x:cfRule>
  </x:conditionalFormatting>
  <x:dataValidations count="6">
    <x:dataValidation type="whole" operator="between" sqref="L5:L99">
      <x:formula1>1</x:formula1>
      <x:formula2>10</x:formula2>
    </x:dataValidation>
    <x:dataValidation type="whole" operator="between" sqref="M5:M99">
      <x:formula1>0</x:formula1>
      <x:formula2>10</x:formula2>
    </x:dataValidation>
    <x:dataValidation type="list" sqref="P5:P99">
      <x:formula1>"OK,Skrócone,Zamienione na easy,Pominięte,Ból,Choroba"</x:formula1>
    </x:dataValidation>
    <x:dataValidation type="list" sqref="X5:X99">
      <x:formula1>"Easy shoes,Metaspeed Sky Tokyo,Hoka Cielo X1,Trail,Treadmill,Inne"</x:formula1>
    </x:dataValidation>
    <x:dataValidation type="list" sqref="Y5:Y99">
      <x:formula1>"0%,50%,75%,100%"</x:formula1>
    </x:dataValidation>
    <x:dataValidation type="list" sqref="Z5:Z99">
      <x:formula1>"1,2,3,4,5,6,7,8,9,10"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fe788bb8b84cc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8" hidden="0" customWidth="1"/>
    <x:col min="4" max="4" width="30" hidden="0" customWidth="1"/>
    <x:col min="5" max="5" width="24" hidden="0" customWidth="1"/>
    <x:col min="6" max="6" width="55" hidden="0" customWidth="1"/>
    <x:col min="7" max="7" width="15" hidden="0" customWidth="1"/>
    <x:col min="8" max="8" width="26" hidden="0" customWidth="1"/>
    <x:col min="9" max="9" width="34" hidden="0" customWidth="1"/>
    <x:col min="10" max="10" width="34" hidden="0" customWidth="1"/>
    <x:col min="11" max="11" width="34" hidden="0" customWidth="1"/>
    <x:col min="12" max="12" width="10" hidden="0" customWidth="1"/>
    <x:col min="13" max="13" width="10" hidden="0" customWidth="1"/>
    <x:col min="14" max="14" width="10" hidden="0" customWidth="1"/>
    <x:col min="15" max="15" width="22" hidden="0" customWidth="1"/>
    <x:col min="16" max="16" width="22" hidden="0" customWidth="1"/>
    <x:col min="17" max="17" width="38" hidden="0" customWidth="1"/>
    <x:col min="19" max="19" width="11" hidden="0" customWidth="1"/>
    <x:col min="20" max="20" width="28" hidden="0" customWidth="1"/>
    <x:col min="21" max="21" width="65" hidden="0" customWidth="1"/>
    <x:col min="18" max="18" width="17" hidden="0" customWidth="1"/>
    <x:col min="22" max="22" width="10" hidden="0" customWidth="1"/>
    <x:col min="23" max="23" width="11" hidden="0" customWidth="1"/>
    <x:col min="24" max="24" width="18" hidden="0" customWidth="1"/>
    <x:col min="25" max="25" width="13" hidden="0" customWidth="1"/>
    <x:col min="26" max="26" width="11" hidden="0" customWidth="1"/>
    <x:col min="27" max="27" width="12" hidden="0" customWidth="1"/>
    <x:col min="28" max="28" width="34" hidden="0" customWidth="1"/>
  </x:cols>
  <x:sheetData>
    <x:row r="1" ht="24" customHeight="1">
      <x:c r="A1" s="41" t="str">
        <x:v>FAZA 2 - IRONMAN 70.3 POZNAŃ 2027: V7 — dopracowany cap roweru, test startowy, CSS i taper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</x:row>
    <x:row r="2">
      <x:c r="A2" s="44" t="str">
        <x:v>Data 2027 robocza do potwierdzenia. V7: cap sobotniego roweru 210-220 min, start testowy C-priority, progresja biegu 70.3 i pływania CSS/1900 m.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</x:row>
    <x:row r="3">
      <x:c r="R3" s="131" t="str">
        <x:v>MIESIĄCE</x:v>
      </x:c>
      <x:c r="S3" s="80" t="str">
        <x:v>LEGENDA KOLORÓW</x:v>
      </x:c>
    </x:row>
    <x:row r="4" ht="22" customHeight="1">
      <x:c r="A4" s="48" t="str">
        <x:v>Data</x:v>
      </x:c>
      <x:c r="B4" s="48" t="str">
        <x:v>Dzień</x:v>
      </x:c>
      <x:c r="C4" s="48" t="str">
        <x:v>Faza / tydzień</x:v>
      </x:c>
      <x:c r="D4" s="48" t="str">
        <x:v>Priorytet tygodnia</x:v>
      </x:c>
      <x:c r="E4" s="48" t="str">
        <x:v>Dyscyplina</x:v>
      </x:c>
      <x:c r="F4" s="48" t="str">
        <x:v>Szczegółowy opis treningu</x:v>
      </x:c>
      <x:c r="G4" s="48" t="str">
        <x:v>Intensywność</x:v>
      </x:c>
      <x:c r="H4" s="48" t="str">
        <x:v>Cel jednostki</x:v>
      </x:c>
      <x:c r="I4" s="48" t="str">
        <x:v>Śniadanie</x:v>
      </x:c>
      <x:c r="J4" s="48" t="str">
        <x:v>Obiad</x:v>
      </x:c>
      <x:c r="K4" s="48" t="str">
        <x:v>Kolacja / po treningu</x:v>
      </x:c>
      <x:c r="L4" s="209" t="str">
        <x:v>RPE 1-10</x:v>
      </x:c>
      <x:c r="M4" s="209" t="str">
        <x:v>Ból 0-10</x:v>
      </x:c>
      <x:c r="N4" s="209" t="str">
        <x:v>Sen (h)</x:v>
      </x:c>
      <x:c r="O4" s="209" t="str">
        <x:v>Paliwo / żele</x:v>
      </x:c>
      <x:c r="P4" s="209" t="str">
        <x:v>Uwagi / status</x:v>
      </x:c>
      <x:c r="Q4" s="48" t="str">
        <x:v>Modyfikacja jeśli zmęczenie/ból</x:v>
      </x:c>
      <x:c r="R4" s="132" t="str">
        <x:v>Miesiąc</x:v>
      </x:c>
      <x:c r="S4" s="102" t="str">
        <x:v>Kolor</x:v>
      </x:c>
      <x:c r="T4" s="102" t="str">
        <x:v>Typ</x:v>
      </x:c>
      <x:c r="U4" s="102" t="str">
        <x:v>Charakterystyka</x:v>
      </x:c>
      <x:c r="V4" s="225" t="str">
        <x:v>Czas min</x:v>
      </x:c>
      <x:c r="W4" s="225" t="str">
        <x:v>Dystans km</x:v>
      </x:c>
      <x:c r="X4" s="225" t="str">
        <x:v>Buty / sprzęt</x:v>
      </x:c>
      <x:c r="Y4" s="225" t="str">
        <x:v>Plan wykonany %</x:v>
      </x:c>
      <x:c r="Z4" s="225" t="str">
        <x:v>Mental 1-10</x:v>
      </x:c>
      <x:c r="AA4" s="225" t="str">
        <x:v>Coach flag</x:v>
      </x:c>
      <x:c r="AB4" s="225" t="str">
        <x:v>Plan B / decyzja</x:v>
      </x:c>
    </x:row>
    <x:row r="5" ht="26" customHeight="1">
      <x:c r="A5" s="148" t="n">
        <x:v>46279</x:v>
      </x:c>
      <x:c r="B5" s="149" t="str">
        <x:v>Poniedziałek</x:v>
      </x:c>
      <x:c r="C5" s="149" t="str">
        <x:v>Tydzień 1 (Przejście po Oslo / regeneracja)</x:v>
      </x:c>
      <x:c r="D5" s="158" t="str">
        <x:v>Odbudowa po maratonie, zero heroizmu</x:v>
      </x:c>
      <x:c r="E5" s="158" t="str">
        <x:v>WOLNE</x:v>
      </x:c>
      <x:c r="F5" s="158" t="str">
        <x:v>800-1000 m luźno lub pełne wolne. Priorytet: zejście DOMS po Oslo.</x:v>
      </x:c>
      <x:c r="G5" s="158" t="str">
        <x:v>REGENERACJA</x:v>
      </x:c>
      <x:c r="H5" s="158" t="str">
        <x:v>Regeneracja</x:v>
      </x:c>
      <x:c r="I5" s="158" t="str">
        <x:v>Normalne śniadanie, bez wymuszonego ładowania.</x:v>
      </x:c>
      <x:c r="J5" s="158" t="str">
        <x:v>Warzywa + białko + spokojna porcja węgli.</x:v>
      </x:c>
      <x:c r="K5" s="158" t="str">
        <x:v>Lekko, prosto, sen ważniejszy niż idealne makro.</x:v>
      </x:c>
      <x:c r="L5" s="158"/>
      <x:c r="M5" s="158"/>
      <x:c r="N5" s="158"/>
      <x:c r="O5" s="158"/>
      <x:c r="P5" s="158"/>
      <x:c r="Q5" s="158" t="str">
        <x:v>Nie nadrabiaj zaległości. Regeneracja jest częścią planu.</x:v>
      </x:c>
      <x:c r="R5" s="136" t="str">
        <x:v>WRZESIEŃ 2026</x:v>
      </x:c>
      <x:c r="S5" s="103" t="str">
        <x:v>■</x:v>
      </x:c>
      <x:c r="T5" s="54" t="str">
        <x:v>INTERWAŁY / TEMPO / START</x:v>
      </x:c>
      <x:c r="U5" s="54" t="str">
        <x:v>Treningi szybkościowe, akcenty podprogowe, mocne tempo startowe.</x:v>
      </x:c>
      <x:c r="V5" s="227"/>
      <x:c r="W5" s="228"/>
      <x:c r="X5" s="226"/>
      <x:c r="Y5" s="229"/>
      <x:c r="Z5" s="227"/>
      <x:c r="AA5" s="226" t="str">
        <x:f>IF(AND(L5="",M5="",N5="",Z5=""),"",IF(OR(M5&gt;=5,N5&lt;6,L5&gt;=8),"CZERWONY",IF(OR(M5&gt;=3,N5&lt;6.5,L5&gt;=7,Z5&lt;=4),"ŻÓŁTY","OK")))</x:f>
      </x:c>
      <x:c r="AB5" s="226" t="str">
        <x:f>IF(AA5="","",IF(AA5="OK","Realizuj plan normalnie.",IF(AA5="ŻÓŁTY","Skróć 10-30% albo zamień akcent na easy.", "STOP mocne bodźce: wolne/basen/Tacx Z1 48-72 h.")))</x:f>
      </x:c>
    </x:row>
    <x:row r="6">
      <x:c r="A6" s="65" t="n">
        <x:v>46280</x:v>
      </x:c>
      <x:c r="B6" s="66" t="str">
        <x:v>Wtorek</x:v>
      </x:c>
      <x:c r="C6" s="66" t="str">
        <x:v>Tydzień 1 (Przejście po Oslo / regeneracja)</x:v>
      </x:c>
      <x:c r="D6" s="66" t="str">
        <x:v>Odbudowa po maratonie, zero heroizmu</x:v>
      </x:c>
      <x:c r="E6" s="66" t="str">
        <x:v>Bieg easy / marszobieg</x:v>
      </x:c>
      <x:c r="F6" s="66" t="str">
        <x:v>20-40 min bardzo luźno tylko jeśli brak bólu. Inaczej spacer.</x:v>
      </x:c>
      <x:c r="G6" s="66" t="str">
        <x:v>REGENERACJA</x:v>
      </x:c>
      <x:c r="H6" s="66" t="str">
        <x:v>Powrót ruchu</x:v>
      </x:c>
      <x:c r="I6" s="66" t="str">
        <x:v>Normalne śniadanie, bez wymuszonego ładowania.</x:v>
      </x:c>
      <x:c r="J6" s="66" t="str">
        <x:v>Warzywa + białko + spokojna porcja węgli.</x:v>
      </x:c>
      <x:c r="K6" s="66" t="str">
        <x:v>Lekko, prosto, sen ważniejszy niż idealne makro.</x:v>
      </x:c>
      <x:c r="L6" s="66"/>
      <x:c r="M6" s="66"/>
      <x:c r="N6" s="66"/>
      <x:c r="O6" s="66"/>
      <x:c r="P6" s="66"/>
      <x:c r="Q6" s="66" t="str">
        <x:v>Nie nadrabiaj zaległości. Regeneracja jest częścią planu.</x:v>
      </x:c>
      <x:c r="S6" s="104" t="str">
        <x:v>■</x:v>
      </x:c>
      <x:c r="T6" s="78" t="str">
        <x:v>BASEN / PŁYWANIE</x:v>
      </x:c>
      <x:c r="U6" s="78" t="str">
        <x:v>Treningi w wodzie, technika, wytrzymałość i adaptacja do startu.</x:v>
      </x:c>
      <x:c r="V6" s="227"/>
      <x:c r="W6" s="228"/>
      <x:c r="X6" s="226"/>
      <x:c r="Y6" s="229"/>
      <x:c r="Z6" s="227"/>
      <x:c r="AA6" s="226" t="str">
        <x:f>IF(AND(L6="",M6="",N6="",Z6=""),"",IF(OR(M6&gt;=5,N6&lt;6,L6&gt;=8),"CZERWONY",IF(OR(M6&gt;=3,N6&lt;6.5,L6&gt;=7,Z6&lt;=4),"ŻÓŁTY","OK")))</x:f>
      </x:c>
      <x:c r="AB6" s="226" t="str">
        <x:f>IF(AA6="","",IF(AA6="OK","Realizuj plan normalnie.",IF(AA6="ŻÓŁTY","Skróć 10-30% albo zamień akcent na easy.", "STOP mocne bodźce: wolne/basen/Tacx Z1 48-72 h.")))</x:f>
      </x:c>
    </x:row>
    <x:row r="7">
      <x:c r="A7" s="113" t="n">
        <x:v>46281</x:v>
      </x:c>
      <x:c r="B7" s="107" t="str">
        <x:v>Środa</x:v>
      </x:c>
      <x:c r="C7" s="107" t="str">
        <x:v>Tydzień 1 (Przejście po Oslo / regeneracja)</x:v>
      </x:c>
      <x:c r="D7" s="107" t="str">
        <x:v>Odbudowa po maratonie, zero heroizmu</x:v>
      </x:c>
      <x:c r="E7" s="107" t="str">
        <x:v>Tacx regeneracyjny</x:v>
      </x:c>
      <x:c r="F7" s="107" t="str">
        <x:v>45 min Z1 135-155 W. Bez sweet spot, bez T2.</x:v>
      </x:c>
      <x:c r="G7" s="107" t="str">
        <x:v>REGENERACJA</x:v>
      </x:c>
      <x:c r="H7" s="107" t="str">
        <x:v>Krążenie</x:v>
      </x:c>
      <x:c r="I7" s="107" t="str">
        <x:v>Normalne śniadanie, bez wymuszonego ładowania.</x:v>
      </x:c>
      <x:c r="J7" s="107" t="str">
        <x:v>Warzywa + białko + spokojna porcja węgli.</x:v>
      </x:c>
      <x:c r="K7" s="107" t="str">
        <x:v>Lekko, prosto, sen ważniejszy niż idealne makro.</x:v>
      </x:c>
      <x:c r="L7" s="107"/>
      <x:c r="M7" s="107"/>
      <x:c r="N7" s="107"/>
      <x:c r="O7" s="107"/>
      <x:c r="P7" s="107"/>
      <x:c r="Q7" s="107" t="str">
        <x:v>Nie nadrabiaj zaległości. Regeneracja jest częścią planu.</x:v>
      </x:c>
      <x:c r="S7" s="105" t="str">
        <x:v>■</x:v>
      </x:c>
      <x:c r="T7" s="66" t="str">
        <x:v>LONG RUN / TLEN</x:v>
      </x:c>
      <x:c r="U7" s="66" t="str">
        <x:v>Długie biegi tlenowe i spokojne wybiegania rozwijające bazę.</x:v>
      </x:c>
      <x:c r="V7" s="227"/>
      <x:c r="W7" s="228"/>
      <x:c r="X7" s="226"/>
      <x:c r="Y7" s="229"/>
      <x:c r="Z7" s="227"/>
      <x:c r="AA7" s="226" t="str">
        <x:f>IF(AND(L7="",M7="",N7="",Z7=""),"",IF(OR(M7&gt;=5,N7&lt;6,L7&gt;=8),"CZERWONY",IF(OR(M7&gt;=3,N7&lt;6.5,L7&gt;=7,Z7&lt;=4),"ŻÓŁTY","OK")))</x:f>
      </x:c>
      <x:c r="AB7" s="226" t="str">
        <x:f>IF(AA7="","",IF(AA7="OK","Realizuj plan normalnie.",IF(AA7="ŻÓŁTY","Skróć 10-30% albo zamień akcent na easy.", "STOP mocne bodźce: wolne/basen/Tacx Z1 48-72 h.")))</x:f>
      </x:c>
    </x:row>
    <x:row r="8">
      <x:c r="A8" s="77" t="n">
        <x:v>46282</x:v>
      </x:c>
      <x:c r="B8" s="78" t="str">
        <x:v>Czwartek</x:v>
      </x:c>
      <x:c r="C8" s="78" t="str">
        <x:v>Tydzień 1 (Przejście po Oslo / regeneracja)</x:v>
      </x:c>
      <x:c r="D8" s="78" t="str">
        <x:v>Odbudowa po maratonie, zero heroizmu</x:v>
      </x:c>
      <x:c r="E8" s="78" t="str">
        <x:v>Bieg easy + basen</x:v>
      </x:c>
      <x:c r="F8" s="78" t="str">
        <x:v>4-7 km easy lub marszobieg + 800-1000 m luz. Zero podbiegów.</x:v>
      </x:c>
      <x:c r="G8" s="78" t="str">
        <x:v>REGENERACJA</x:v>
      </x:c>
      <x:c r="H8" s="78" t="str">
        <x:v>Łagodne wejście</x:v>
      </x:c>
      <x:c r="I8" s="78" t="str">
        <x:v>Normalne śniadanie, bez wymuszonego ładowania.</x:v>
      </x:c>
      <x:c r="J8" s="78" t="str">
        <x:v>Warzywa + białko + spokojna porcja węgli.</x:v>
      </x:c>
      <x:c r="K8" s="78" t="str">
        <x:v>Lekko, prosto, sen ważniejszy niż idealne makro.</x:v>
      </x:c>
      <x:c r="L8" s="78"/>
      <x:c r="M8" s="78"/>
      <x:c r="N8" s="78"/>
      <x:c r="O8" s="78"/>
      <x:c r="P8" s="78"/>
      <x:c r="Q8" s="78" t="str">
        <x:v>Nie nadrabiaj zaległości. Regeneracja jest częścią planu.</x:v>
      </x:c>
      <x:c r="S8" s="106" t="str">
        <x:v>■</x:v>
      </x:c>
      <x:c r="T8" s="107" t="str">
        <x:v>ROWER / TACX</x:v>
      </x:c>
      <x:c r="U8" s="107" t="str">
        <x:v>Praca na trenażerze/rowerze, budowanie mocy FTP i Sweet Spot.</x:v>
      </x:c>
      <x:c r="V8" s="227"/>
      <x:c r="W8" s="228"/>
      <x:c r="X8" s="226"/>
      <x:c r="Y8" s="229"/>
      <x:c r="Z8" s="227"/>
      <x:c r="AA8" s="226" t="str">
        <x:f>IF(AND(L8="",M8="",N8="",Z8=""),"",IF(OR(M8&gt;=5,N8&lt;6,L8&gt;=8),"CZERWONY",IF(OR(M8&gt;=3,N8&lt;6.5,L8&gt;=7,Z8&lt;=4),"ŻÓŁTY","OK")))</x:f>
      </x:c>
      <x:c r="AB8" s="226" t="str">
        <x:f>IF(AA8="","",IF(AA8="OK","Realizuj plan normalnie.",IF(AA8="ŻÓŁTY","Skróć 10-30% albo zamień akcent na easy.", "STOP mocne bodźce: wolne/basen/Tacx Z1 48-72 h.")))</x:f>
      </x:c>
    </x:row>
    <x:row r="9">
      <x:c r="A9" s="71" t="n">
        <x:v>46283</x:v>
      </x:c>
      <x:c r="B9" s="72" t="str">
        <x:v>Piątek</x:v>
      </x:c>
      <x:c r="C9" s="72" t="str">
        <x:v>Tydzień 1 (Przejście po Oslo / regeneracja)</x:v>
      </x:c>
      <x:c r="D9" s="72" t="str">
        <x:v>Odbudowa po maratonie, zero heroizmu</x:v>
      </x:c>
      <x:c r="E9" s="72" t="str">
        <x:v>WOLNE</x:v>
      </x:c>
      <x:c r="F9" s="72" t="str">
        <x:v>Pełny odpoczynek. Sen i jedzenie ważniejsze niż trening.</x:v>
      </x:c>
      <x:c r="G9" s="72" t="str">
        <x:v>WOLNE</x:v>
      </x:c>
      <x:c r="H9" s="72" t="str">
        <x:v>Adaptacja</x:v>
      </x:c>
      <x:c r="I9" s="72" t="str">
        <x:v>Normalne śniadanie, bez wymuszonego ładowania.</x:v>
      </x:c>
      <x:c r="J9" s="72" t="str">
        <x:v>Warzywa + białko + spokojna porcja węgli.</x:v>
      </x:c>
      <x:c r="K9" s="72" t="str">
        <x:v>Lekko, prosto, sen ważniejszy niż idealne makro.</x:v>
      </x:c>
      <x:c r="L9" s="72"/>
      <x:c r="M9" s="72"/>
      <x:c r="N9" s="72"/>
      <x:c r="O9" s="72"/>
      <x:c r="P9" s="72"/>
      <x:c r="Q9" s="72" t="str">
        <x:v>Nie nadrabiaj zaległości. Regeneracja jest częścią planu.</x:v>
      </x:c>
      <x:c r="S9" s="108" t="str">
        <x:v>■</x:v>
      </x:c>
      <x:c r="T9" s="60" t="str">
        <x:v>KROS / PODBIEGI / SIŁA</x:v>
      </x:c>
      <x:c r="U9" s="60" t="str">
        <x:v>Siła biegowa, podbiegi dynamiczne, stabilizacja głęboka.</x:v>
      </x:c>
      <x:c r="V9" s="227"/>
      <x:c r="W9" s="228"/>
      <x:c r="X9" s="226"/>
      <x:c r="Y9" s="229"/>
      <x:c r="Z9" s="227"/>
      <x:c r="AA9" s="226" t="str">
        <x:f>IF(AND(L9="",M9="",N9="",Z9=""),"",IF(OR(M9&gt;=5,N9&lt;6,L9&gt;=8),"CZERWONY",IF(OR(M9&gt;=3,N9&lt;6.5,L9&gt;=7,Z9&lt;=4),"ŻÓŁTY","OK")))</x:f>
      </x:c>
      <x:c r="AB9" s="226" t="str">
        <x:f>IF(AA9="","",IF(AA9="OK","Realizuj plan normalnie.",IF(AA9="ŻÓŁTY","Skróć 10-30% albo zamień akcent na easy.", "STOP mocne bodźce: wolne/basen/Tacx Z1 48-72 h.")))</x:f>
      </x:c>
    </x:row>
    <x:row r="10">
      <x:c r="A10" s="113" t="n">
        <x:v>46284</x:v>
      </x:c>
      <x:c r="B10" s="107" t="str">
        <x:v>Sobota</x:v>
      </x:c>
      <x:c r="C10" s="107" t="str">
        <x:v>Tydzień 1 (Przejście po Oslo / regeneracja)</x:v>
      </x:c>
      <x:c r="D10" s="107" t="str">
        <x:v>Odbudowa po maratonie, zero heroizmu</x:v>
      </x:c>
      <x:c r="E10" s="107" t="str">
        <x:v>Tacx Z1/Z2</x:v>
      </x:c>
      <x:c r="F10" s="107" t="str">
        <x:v>45 min bardzo spokojnie. Bez zakładki T2 w tygodniach przejściowych.</x:v>
      </x:c>
      <x:c r="G10" s="107" t="str">
        <x:v>REGENERACJA</x:v>
      </x:c>
      <x:c r="H10" s="107" t="str">
        <x:v>Tlen</x:v>
      </x:c>
      <x:c r="I10" s="107" t="str">
        <x:v>Normalne śniadanie, bez wymuszonego ładowania.</x:v>
      </x:c>
      <x:c r="J10" s="107" t="str">
        <x:v>Warzywa + białko + spokojna porcja węgli.</x:v>
      </x:c>
      <x:c r="K10" s="107" t="str">
        <x:v>Lekko, prosto, sen ważniejszy niż idealne makro.</x:v>
      </x:c>
      <x:c r="L10" s="107"/>
      <x:c r="M10" s="107"/>
      <x:c r="N10" s="107"/>
      <x:c r="O10" s="107"/>
      <x:c r="P10" s="107"/>
      <x:c r="Q10" s="107" t="str">
        <x:v>Nie nadrabiaj zaległości. Regeneracja jest częścią planu.</x:v>
      </x:c>
      <x:c r="S10" s="109" t="str">
        <x:v>■</x:v>
      </x:c>
      <x:c r="T10" s="72" t="str">
        <x:v>REGENERACJA / WOLNE</x:v>
      </x:c>
      <x:c r="U10" s="72" t="str">
        <x:v>Dni całkowicie wolne, spacery lub bardzo lekka regeneracja.</x:v>
      </x:c>
      <x:c r="V10" s="227"/>
      <x:c r="W10" s="228"/>
      <x:c r="X10" s="226"/>
      <x:c r="Y10" s="229"/>
      <x:c r="Z10" s="227"/>
      <x:c r="AA10" s="226" t="str">
        <x:f>IF(AND(L10="",M10="",N10="",Z10=""),"",IF(OR(M10&gt;=5,N10&lt;6,L10&gt;=8),"CZERWONY",IF(OR(M10&gt;=3,N10&lt;6.5,L10&gt;=7,Z10&lt;=4),"ŻÓŁTY","OK")))</x:f>
      </x:c>
      <x:c r="AB10" s="226" t="str">
        <x:f>IF(AA10="","",IF(AA10="OK","Realizuj plan normalnie.",IF(AA10="ŻÓŁTY","Skróć 10-30% albo zamień akcent na easy.", "STOP mocne bodźce: wolne/basen/Tacx Z1 48-72 h.")))</x:f>
      </x:c>
    </x:row>
    <x:row r="11">
      <x:c r="A11" s="71" t="n">
        <x:v>46285</x:v>
      </x:c>
      <x:c r="B11" s="72" t="str">
        <x:v>Niedziela</x:v>
      </x:c>
      <x:c r="C11" s="72" t="str">
        <x:v>Tydzień 1 (Przejście po Oslo / regeneracja)</x:v>
      </x:c>
      <x:c r="D11" s="72" t="str">
        <x:v>Odbudowa po maratonie, zero heroizmu</x:v>
      </x:c>
      <x:c r="E11" s="72" t="str">
        <x:v>WOLNE / spacer</x:v>
      </x:c>
      <x:c r="F11" s="72" t="str">
        <x:v>WOLNE albo 20-40 min easy/spacer. Maraton ma zejść z nóg.</x:v>
      </x:c>
      <x:c r="G11" s="72" t="str">
        <x:v>REGENERACJA</x:v>
      </x:c>
      <x:c r="H11" s="72" t="str">
        <x:v>Odbudowa</x:v>
      </x:c>
      <x:c r="I11" s="72" t="str">
        <x:v>Normalne śniadanie, bez wymuszonego ładowania.</x:v>
      </x:c>
      <x:c r="J11" s="72" t="str">
        <x:v>Warzywa + białko + spokojna porcja węgli.</x:v>
      </x:c>
      <x:c r="K11" s="72" t="str">
        <x:v>Lekko, prosto, sen ważniejszy niż idealne makro.</x:v>
      </x:c>
      <x:c r="L11" s="72"/>
      <x:c r="M11" s="72"/>
      <x:c r="N11" s="72"/>
      <x:c r="O11" s="72"/>
      <x:c r="P11" s="72"/>
      <x:c r="Q11" s="72" t="str">
        <x:v>Nie nadrabiaj zaległości. Regeneracja jest częścią planu.</x:v>
      </x:c>
      <x:c r="V11" s="227"/>
      <x:c r="W11" s="228"/>
      <x:c r="X11" s="226"/>
      <x:c r="Y11" s="229"/>
      <x:c r="Z11" s="227"/>
      <x:c r="AA11" s="226" t="str">
        <x:f>IF(AND(L11="",M11="",N11="",Z11=""),"",IF(OR(M11&gt;=5,N11&lt;6,L11&gt;=8),"CZERWONY",IF(OR(M11&gt;=3,N11&lt;6.5,L11&gt;=7,Z11&lt;=4),"ŻÓŁTY","OK")))</x:f>
      </x:c>
      <x:c r="AB11" s="226" t="str">
        <x:f>IF(AA11="","",IF(AA11="OK","Realizuj plan normalnie.",IF(AA11="ŻÓŁTY","Skróć 10-30% albo zamień akcent na easy.", "STOP mocne bodźce: wolne/basen/Tacx Z1 48-72 h.")))</x:f>
      </x:c>
    </x:row>
    <x:row r="12">
      <x:c r="A12" s="77" t="n">
        <x:v>46286</x:v>
      </x:c>
      <x:c r="B12" s="78" t="str">
        <x:v>Poniedziałek</x:v>
      </x:c>
      <x:c r="C12" s="78" t="str">
        <x:v>Tydzień 2 (Przejście po Oslo / regeneracja)</x:v>
      </x:c>
      <x:c r="D12" s="78" t="str">
        <x:v>Odbudowa po maratonie, zero heroizmu</x:v>
      </x:c>
      <x:c r="E12" s="78" t="str">
        <x:v>BASEN regeneracyjny</x:v>
      </x:c>
      <x:c r="F12" s="78" t="str">
        <x:v>800-1000 m luźno lub pełne wolne. Priorytet: zejście DOMS po Oslo.</x:v>
      </x:c>
      <x:c r="G12" s="78" t="str">
        <x:v>REGENERACJA</x:v>
      </x:c>
      <x:c r="H12" s="78" t="str">
        <x:v>Regeneracja</x:v>
      </x:c>
      <x:c r="I12" s="78" t="str">
        <x:v>Normalne śniadanie, bez wymuszonego ładowania.</x:v>
      </x:c>
      <x:c r="J12" s="78" t="str">
        <x:v>Warzywa + białko + spokojna porcja węgli.</x:v>
      </x:c>
      <x:c r="K12" s="78" t="str">
        <x:v>Lekko, prosto, sen ważniejszy niż idealne makro.</x:v>
      </x:c>
      <x:c r="L12" s="78"/>
      <x:c r="M12" s="78"/>
      <x:c r="N12" s="78"/>
      <x:c r="O12" s="78"/>
      <x:c r="P12" s="78"/>
      <x:c r="Q12" s="78" t="str">
        <x:v>Nie nadrabiaj zaległości. Regeneracja jest częścią planu.</x:v>
      </x:c>
      <x:c r="V12" s="227"/>
      <x:c r="W12" s="228"/>
      <x:c r="X12" s="226"/>
      <x:c r="Y12" s="229"/>
      <x:c r="Z12" s="227"/>
      <x:c r="AA12" s="226" t="str">
        <x:f>IF(AND(L12="",M12="",N12="",Z12=""),"",IF(OR(M12&gt;=5,N12&lt;6,L12&gt;=8),"CZERWONY",IF(OR(M12&gt;=3,N12&lt;6.5,L12&gt;=7,Z12&lt;=4),"ŻÓŁTY","OK")))</x:f>
      </x:c>
      <x:c r="AB12" s="226" t="str">
        <x:f>IF(AA12="","",IF(AA12="OK","Realizuj plan normalnie.",IF(AA12="ŻÓŁTY","Skróć 10-30% albo zamień akcent na easy.", "STOP mocne bodźce: wolne/basen/Tacx Z1 48-72 h.")))</x:f>
      </x:c>
    </x:row>
    <x:row r="13">
      <x:c r="A13" s="65" t="n">
        <x:v>46287</x:v>
      </x:c>
      <x:c r="B13" s="66" t="str">
        <x:v>Wtorek</x:v>
      </x:c>
      <x:c r="C13" s="66" t="str">
        <x:v>Tydzień 2 (Przejście po Oslo / regeneracja)</x:v>
      </x:c>
      <x:c r="D13" s="66" t="str">
        <x:v>Odbudowa po maratonie, zero heroizmu</x:v>
      </x:c>
      <x:c r="E13" s="66" t="str">
        <x:v>Bieg easy / marszobieg</x:v>
      </x:c>
      <x:c r="F13" s="66" t="str">
        <x:v>20-40 min bardzo luźno tylko jeśli brak bólu. Inaczej spacer.</x:v>
      </x:c>
      <x:c r="G13" s="66" t="str">
        <x:v>REGENERACJA</x:v>
      </x:c>
      <x:c r="H13" s="66" t="str">
        <x:v>Powrót ruchu</x:v>
      </x:c>
      <x:c r="I13" s="66" t="str">
        <x:v>Normalne śniadanie, bez wymuszonego ładowania.</x:v>
      </x:c>
      <x:c r="J13" s="66" t="str">
        <x:v>Warzywa + białko + spokojna porcja węgli.</x:v>
      </x:c>
      <x:c r="K13" s="66" t="str">
        <x:v>Lekko, prosto, sen ważniejszy niż idealne makro.</x:v>
      </x:c>
      <x:c r="L13" s="66"/>
      <x:c r="M13" s="66"/>
      <x:c r="N13" s="66"/>
      <x:c r="O13" s="66"/>
      <x:c r="P13" s="66"/>
      <x:c r="Q13" s="66" t="str">
        <x:v>Nie nadrabiaj zaległości. Regeneracja jest częścią planu.</x:v>
      </x:c>
      <x:c r="V13" s="227"/>
      <x:c r="W13" s="228"/>
      <x:c r="X13" s="226"/>
      <x:c r="Y13" s="229"/>
      <x:c r="Z13" s="227"/>
      <x:c r="AA13" s="226" t="str">
        <x:f>IF(AND(L13="",M13="",N13="",Z13=""),"",IF(OR(M13&gt;=5,N13&lt;6,L13&gt;=8),"CZERWONY",IF(OR(M13&gt;=3,N13&lt;6.5,L13&gt;=7,Z13&lt;=4),"ŻÓŁTY","OK")))</x:f>
      </x:c>
      <x:c r="AB13" s="226" t="str">
        <x:f>IF(AA13="","",IF(AA13="OK","Realizuj plan normalnie.",IF(AA13="ŻÓŁTY","Skróć 10-30% albo zamień akcent na easy.", "STOP mocne bodźce: wolne/basen/Tacx Z1 48-72 h.")))</x:f>
      </x:c>
    </x:row>
    <x:row r="14">
      <x:c r="A14" s="113" t="n">
        <x:v>46288</x:v>
      </x:c>
      <x:c r="B14" s="107" t="str">
        <x:v>Środa</x:v>
      </x:c>
      <x:c r="C14" s="107" t="str">
        <x:v>Tydzień 2 (Przejście po Oslo / regeneracja)</x:v>
      </x:c>
      <x:c r="D14" s="107" t="str">
        <x:v>Odbudowa po maratonie, zero heroizmu</x:v>
      </x:c>
      <x:c r="E14" s="107" t="str">
        <x:v>Tacx regeneracyjny</x:v>
      </x:c>
      <x:c r="F14" s="107" t="str">
        <x:v>50 min Z1 135-155 W. Bez sweet spot, bez T2.</x:v>
      </x:c>
      <x:c r="G14" s="107" t="str">
        <x:v>REGENERACJA</x:v>
      </x:c>
      <x:c r="H14" s="107" t="str">
        <x:v>Krążenie</x:v>
      </x:c>
      <x:c r="I14" s="107" t="str">
        <x:v>Normalne śniadanie, bez wymuszonego ładowania.</x:v>
      </x:c>
      <x:c r="J14" s="107" t="str">
        <x:v>Warzywa + białko + spokojna porcja węgli.</x:v>
      </x:c>
      <x:c r="K14" s="107" t="str">
        <x:v>Lekko, prosto, sen ważniejszy niż idealne makro.</x:v>
      </x:c>
      <x:c r="L14" s="107"/>
      <x:c r="M14" s="107"/>
      <x:c r="N14" s="107"/>
      <x:c r="O14" s="107"/>
      <x:c r="P14" s="107"/>
      <x:c r="Q14" s="107" t="str">
        <x:v>Nie nadrabiaj zaległości. Regeneracja jest częścią planu.</x:v>
      </x:c>
      <x:c r="V14" s="227"/>
      <x:c r="W14" s="228"/>
      <x:c r="X14" s="226"/>
      <x:c r="Y14" s="229"/>
      <x:c r="Z14" s="227"/>
      <x:c r="AA14" s="226" t="str">
        <x:f>IF(AND(L14="",M14="",N14="",Z14=""),"",IF(OR(M14&gt;=5,N14&lt;6,L14&gt;=8),"CZERWONY",IF(OR(M14&gt;=3,N14&lt;6.5,L14&gt;=7,Z14&lt;=4),"ŻÓŁTY","OK")))</x:f>
      </x:c>
      <x:c r="AB14" s="226" t="str">
        <x:f>IF(AA14="","",IF(AA14="OK","Realizuj plan normalnie.",IF(AA14="ŻÓŁTY","Skróć 10-30% albo zamień akcent na easy.", "STOP mocne bodźce: wolne/basen/Tacx Z1 48-72 h.")))</x:f>
      </x:c>
    </x:row>
    <x:row r="15">
      <x:c r="A15" s="77" t="n">
        <x:v>46289</x:v>
      </x:c>
      <x:c r="B15" s="78" t="str">
        <x:v>Czwartek</x:v>
      </x:c>
      <x:c r="C15" s="78" t="str">
        <x:v>Tydzień 2 (Przejście po Oslo / regeneracja)</x:v>
      </x:c>
      <x:c r="D15" s="78" t="str">
        <x:v>Odbudowa po maratonie, zero heroizmu</x:v>
      </x:c>
      <x:c r="E15" s="78" t="str">
        <x:v>Bieg easy + basen</x:v>
      </x:c>
      <x:c r="F15" s="78" t="str">
        <x:v>4-7 km easy lub marszobieg + 800-1000 m luz. Zero podbiegów.</x:v>
      </x:c>
      <x:c r="G15" s="78" t="str">
        <x:v>REGENERACJA</x:v>
      </x:c>
      <x:c r="H15" s="78" t="str">
        <x:v>Łagodne wejście</x:v>
      </x:c>
      <x:c r="I15" s="78" t="str">
        <x:v>Normalne śniadanie, bez wymuszonego ładowania.</x:v>
      </x:c>
      <x:c r="J15" s="78" t="str">
        <x:v>Warzywa + białko + spokojna porcja węgli.</x:v>
      </x:c>
      <x:c r="K15" s="78" t="str">
        <x:v>Lekko, prosto, sen ważniejszy niż idealne makro.</x:v>
      </x:c>
      <x:c r="L15" s="78"/>
      <x:c r="M15" s="78"/>
      <x:c r="N15" s="78"/>
      <x:c r="O15" s="78"/>
      <x:c r="P15" s="78"/>
      <x:c r="Q15" s="78" t="str">
        <x:v>Nie nadrabiaj zaległości. Regeneracja jest częścią planu.</x:v>
      </x:c>
      <x:c r="V15" s="227"/>
      <x:c r="W15" s="228"/>
      <x:c r="X15" s="226"/>
      <x:c r="Y15" s="229"/>
      <x:c r="Z15" s="227"/>
      <x:c r="AA15" s="226" t="str">
        <x:f>IF(AND(L15="",M15="",N15="",Z15=""),"",IF(OR(M15&gt;=5,N15&lt;6,L15&gt;=8),"CZERWONY",IF(OR(M15&gt;=3,N15&lt;6.5,L15&gt;=7,Z15&lt;=4),"ŻÓŁTY","OK")))</x:f>
      </x:c>
      <x:c r="AB15" s="226" t="str">
        <x:f>IF(AA15="","",IF(AA15="OK","Realizuj plan normalnie.",IF(AA15="ŻÓŁTY","Skróć 10-30% albo zamień akcent na easy.", "STOP mocne bodźce: wolne/basen/Tacx Z1 48-72 h.")))</x:f>
      </x:c>
    </x:row>
    <x:row r="16">
      <x:c r="A16" s="71" t="n">
        <x:v>46290</x:v>
      </x:c>
      <x:c r="B16" s="72" t="str">
        <x:v>Piątek</x:v>
      </x:c>
      <x:c r="C16" s="72" t="str">
        <x:v>Tydzień 2 (Przejście po Oslo / regeneracja)</x:v>
      </x:c>
      <x:c r="D16" s="72" t="str">
        <x:v>Odbudowa po maratonie, zero heroizmu</x:v>
      </x:c>
      <x:c r="E16" s="72" t="str">
        <x:v>WOLNE</x:v>
      </x:c>
      <x:c r="F16" s="72" t="str">
        <x:v>Pełny odpoczynek. Sen i jedzenie ważniejsze niż trening.</x:v>
      </x:c>
      <x:c r="G16" s="72" t="str">
        <x:v>WOLNE</x:v>
      </x:c>
      <x:c r="H16" s="72" t="str">
        <x:v>Adaptacja</x:v>
      </x:c>
      <x:c r="I16" s="72" t="str">
        <x:v>Normalne śniadanie, bez wymuszonego ładowania.</x:v>
      </x:c>
      <x:c r="J16" s="72" t="str">
        <x:v>Warzywa + białko + spokojna porcja węgli.</x:v>
      </x:c>
      <x:c r="K16" s="72" t="str">
        <x:v>Lekko, prosto, sen ważniejszy niż idealne makro.</x:v>
      </x:c>
      <x:c r="L16" s="72"/>
      <x:c r="M16" s="72"/>
      <x:c r="N16" s="72"/>
      <x:c r="O16" s="72"/>
      <x:c r="P16" s="72"/>
      <x:c r="Q16" s="72" t="str">
        <x:v>Nie nadrabiaj zaległości. Regeneracja jest częścią planu.</x:v>
      </x:c>
      <x:c r="V16" s="227"/>
      <x:c r="W16" s="228"/>
      <x:c r="X16" s="226"/>
      <x:c r="Y16" s="229"/>
      <x:c r="Z16" s="227"/>
      <x:c r="AA16" s="226" t="str">
        <x:f>IF(AND(L16="",M16="",N16="",Z16=""),"",IF(OR(M16&gt;=5,N16&lt;6,L16&gt;=8),"CZERWONY",IF(OR(M16&gt;=3,N16&lt;6.5,L16&gt;=7,Z16&lt;=4),"ŻÓŁTY","OK")))</x:f>
      </x:c>
      <x:c r="AB16" s="226" t="str">
        <x:f>IF(AA16="","",IF(AA16="OK","Realizuj plan normalnie.",IF(AA16="ŻÓŁTY","Skróć 10-30% albo zamień akcent na easy.", "STOP mocne bodźce: wolne/basen/Tacx Z1 48-72 h.")))</x:f>
      </x:c>
    </x:row>
    <x:row r="17">
      <x:c r="A17" s="113" t="n">
        <x:v>46291</x:v>
      </x:c>
      <x:c r="B17" s="107" t="str">
        <x:v>Sobota</x:v>
      </x:c>
      <x:c r="C17" s="107" t="str">
        <x:v>Tydzień 2 (Przejście po Oslo / regeneracja)</x:v>
      </x:c>
      <x:c r="D17" s="107" t="str">
        <x:v>Odbudowa po maratonie, zero heroizmu</x:v>
      </x:c>
      <x:c r="E17" s="107" t="str">
        <x:v>Tacx Z1/Z2</x:v>
      </x:c>
      <x:c r="F17" s="107" t="str">
        <x:v>60 min bardzo spokojnie. Bez zakładki T2 w tygodniach przejściowych.</x:v>
      </x:c>
      <x:c r="G17" s="107" t="str">
        <x:v>REGENERACJA</x:v>
      </x:c>
      <x:c r="H17" s="107" t="str">
        <x:v>Tlen</x:v>
      </x:c>
      <x:c r="I17" s="107" t="str">
        <x:v>Normalne śniadanie, bez wymuszonego ładowania.</x:v>
      </x:c>
      <x:c r="J17" s="107" t="str">
        <x:v>Warzywa + białko + spokojna porcja węgli.</x:v>
      </x:c>
      <x:c r="K17" s="107" t="str">
        <x:v>Lekko, prosto, sen ważniejszy niż idealne makro.</x:v>
      </x:c>
      <x:c r="L17" s="107"/>
      <x:c r="M17" s="107"/>
      <x:c r="N17" s="107"/>
      <x:c r="O17" s="107"/>
      <x:c r="P17" s="107"/>
      <x:c r="Q17" s="107" t="str">
        <x:v>Nie nadrabiaj zaległości. Regeneracja jest częścią planu.</x:v>
      </x:c>
      <x:c r="V17" s="227"/>
      <x:c r="W17" s="228"/>
      <x:c r="X17" s="226"/>
      <x:c r="Y17" s="229"/>
      <x:c r="Z17" s="227"/>
      <x:c r="AA17" s="226" t="str">
        <x:f>IF(AND(L17="",M17="",N17="",Z17=""),"",IF(OR(M17&gt;=5,N17&lt;6,L17&gt;=8),"CZERWONY",IF(OR(M17&gt;=3,N17&lt;6.5,L17&gt;=7,Z17&lt;=4),"ŻÓŁTY","OK")))</x:f>
      </x:c>
      <x:c r="AB17" s="226" t="str">
        <x:f>IF(AA17="","",IF(AA17="OK","Realizuj plan normalnie.",IF(AA17="ŻÓŁTY","Skróć 10-30% albo zamień akcent na easy.", "STOP mocne bodźce: wolne/basen/Tacx Z1 48-72 h.")))</x:f>
      </x:c>
    </x:row>
    <x:row r="18">
      <x:c r="A18" s="65" t="n">
        <x:v>46292</x:v>
      </x:c>
      <x:c r="B18" s="66" t="str">
        <x:v>Niedziela</x:v>
      </x:c>
      <x:c r="C18" s="66" t="str">
        <x:v>Tydzień 2 (Przejście po Oslo / regeneracja)</x:v>
      </x:c>
      <x:c r="D18" s="66" t="str">
        <x:v>Odbudowa po maratonie, zero heroizmu</x:v>
      </x:c>
      <x:c r="E18" s="66" t="str">
        <x:v>Bieg easy</x:v>
      </x:c>
      <x:c r="F18" s="66" t="str">
        <x:v>WOLNE albo 20-40 min easy/spacer. Maraton ma zejść z nóg.</x:v>
      </x:c>
      <x:c r="G18" s="66" t="str">
        <x:v>REGENERACJA</x:v>
      </x:c>
      <x:c r="H18" s="66" t="str">
        <x:v>Odbudowa</x:v>
      </x:c>
      <x:c r="I18" s="66" t="str">
        <x:v>Normalne śniadanie, bez wymuszonego ładowania.</x:v>
      </x:c>
      <x:c r="J18" s="66" t="str">
        <x:v>Warzywa + białko + spokojna porcja węgli.</x:v>
      </x:c>
      <x:c r="K18" s="66" t="str">
        <x:v>Lekko, prosto, sen ważniejszy niż idealne makro.</x:v>
      </x:c>
      <x:c r="L18" s="66"/>
      <x:c r="M18" s="66"/>
      <x:c r="N18" s="66"/>
      <x:c r="O18" s="66"/>
      <x:c r="P18" s="66"/>
      <x:c r="Q18" s="66" t="str">
        <x:v>Nie nadrabiaj zaległości. Regeneracja jest częścią planu.</x:v>
      </x:c>
      <x:c r="V18" s="227"/>
      <x:c r="W18" s="228"/>
      <x:c r="X18" s="226"/>
      <x:c r="Y18" s="229"/>
      <x:c r="Z18" s="227"/>
      <x:c r="AA18" s="226" t="str">
        <x:f>IF(AND(L18="",M18="",N18="",Z18=""),"",IF(OR(M18&gt;=5,N18&lt;6,L18&gt;=8),"CZERWONY",IF(OR(M18&gt;=3,N18&lt;6.5,L18&gt;=7,Z18&lt;=4),"ŻÓŁTY","OK")))</x:f>
      </x:c>
      <x:c r="AB18" s="226" t="str">
        <x:f>IF(AA18="","",IF(AA18="OK","Realizuj plan normalnie.",IF(AA18="ŻÓŁTY","Skróć 10-30% albo zamień akcent na easy.", "STOP mocne bodźce: wolne/basen/Tacx Z1 48-72 h.")))</x:f>
      </x:c>
    </x:row>
    <x:row r="19">
      <x:c r="A19" s="77" t="n">
        <x:v>46293</x:v>
      </x:c>
      <x:c r="B19" s="78" t="str">
        <x:v>Poniedziałek</x:v>
      </x:c>
      <x:c r="C19" s="78" t="str">
        <x:v>Tydzień 3 (Przejście po Oslo / regeneracja)</x:v>
      </x:c>
      <x:c r="D19" s="78" t="str">
        <x:v>Odbudowa po maratonie, zero heroizmu</x:v>
      </x:c>
      <x:c r="E19" s="78" t="str">
        <x:v>BASEN regeneracyjny</x:v>
      </x:c>
      <x:c r="F19" s="78" t="str">
        <x:v>800-1000 m luźno lub pełne wolne. Priorytet: zejście DOMS po Oslo.</x:v>
      </x:c>
      <x:c r="G19" s="78" t="str">
        <x:v>REGENERACJA</x:v>
      </x:c>
      <x:c r="H19" s="78" t="str">
        <x:v>Regeneracja</x:v>
      </x:c>
      <x:c r="I19" s="78" t="str">
        <x:v>Normalne śniadanie, bez wymuszonego ładowania.</x:v>
      </x:c>
      <x:c r="J19" s="78" t="str">
        <x:v>Warzywa + białko + spokojna porcja węgli.</x:v>
      </x:c>
      <x:c r="K19" s="78" t="str">
        <x:v>Lekko, prosto, sen ważniejszy niż idealne makro.</x:v>
      </x:c>
      <x:c r="L19" s="78"/>
      <x:c r="M19" s="78"/>
      <x:c r="N19" s="78"/>
      <x:c r="O19" s="78"/>
      <x:c r="P19" s="78"/>
      <x:c r="Q19" s="78" t="str">
        <x:v>Nie nadrabiaj zaległości. Regeneracja jest częścią planu.</x:v>
      </x:c>
      <x:c r="V19" s="227"/>
      <x:c r="W19" s="228"/>
      <x:c r="X19" s="226"/>
      <x:c r="Y19" s="229"/>
      <x:c r="Z19" s="227"/>
      <x:c r="AA19" s="226" t="str">
        <x:f>IF(AND(L19="",M19="",N19="",Z19=""),"",IF(OR(M19&gt;=5,N19&lt;6,L19&gt;=8),"CZERWONY",IF(OR(M19&gt;=3,N19&lt;6.5,L19&gt;=7,Z19&lt;=4),"ŻÓŁTY","OK")))</x:f>
      </x:c>
      <x:c r="AB19" s="226" t="str">
        <x:f>IF(AA19="","",IF(AA19="OK","Realizuj plan normalnie.",IF(AA19="ŻÓŁTY","Skróć 10-30% albo zamień akcent na easy.", "STOP mocne bodźce: wolne/basen/Tacx Z1 48-72 h.")))</x:f>
      </x:c>
    </x:row>
    <x:row r="20">
      <x:c r="A20" s="65" t="n">
        <x:v>46294</x:v>
      </x:c>
      <x:c r="B20" s="66" t="str">
        <x:v>Wtorek</x:v>
      </x:c>
      <x:c r="C20" s="66" t="str">
        <x:v>Tydzień 3 (Przejście po Oslo / regeneracja)</x:v>
      </x:c>
      <x:c r="D20" s="66" t="str">
        <x:v>Odbudowa po maratonie, zero heroizmu</x:v>
      </x:c>
      <x:c r="E20" s="66" t="str">
        <x:v>Bieg easy / marszobieg</x:v>
      </x:c>
      <x:c r="F20" s="66" t="str">
        <x:v>20-40 min bardzo luźno tylko jeśli brak bólu. Inaczej spacer.</x:v>
      </x:c>
      <x:c r="G20" s="66" t="str">
        <x:v>REGENERACJA</x:v>
      </x:c>
      <x:c r="H20" s="66" t="str">
        <x:v>Powrót ruchu</x:v>
      </x:c>
      <x:c r="I20" s="66" t="str">
        <x:v>Normalne śniadanie, bez wymuszonego ładowania.</x:v>
      </x:c>
      <x:c r="J20" s="66" t="str">
        <x:v>Warzywa + białko + spokojna porcja węgli.</x:v>
      </x:c>
      <x:c r="K20" s="66" t="str">
        <x:v>Lekko, prosto, sen ważniejszy niż idealne makro.</x:v>
      </x:c>
      <x:c r="L20" s="66"/>
      <x:c r="M20" s="66"/>
      <x:c r="N20" s="66"/>
      <x:c r="O20" s="66"/>
      <x:c r="P20" s="66"/>
      <x:c r="Q20" s="66" t="str">
        <x:v>Nie nadrabiaj zaległości. Regeneracja jest częścią planu.</x:v>
      </x:c>
      <x:c r="V20" s="227"/>
      <x:c r="W20" s="228"/>
      <x:c r="X20" s="226"/>
      <x:c r="Y20" s="229"/>
      <x:c r="Z20" s="227"/>
      <x:c r="AA20" s="226" t="str">
        <x:f>IF(AND(L20="",M20="",N20="",Z20=""),"",IF(OR(M20&gt;=5,N20&lt;6,L20&gt;=8),"CZERWONY",IF(OR(M20&gt;=3,N20&lt;6.5,L20&gt;=7,Z20&lt;=4),"ŻÓŁTY","OK")))</x:f>
      </x:c>
      <x:c r="AB20" s="226" t="str">
        <x:f>IF(AA20="","",IF(AA20="OK","Realizuj plan normalnie.",IF(AA20="ŻÓŁTY","Skróć 10-30% albo zamień akcent na easy.", "STOP mocne bodźce: wolne/basen/Tacx Z1 48-72 h.")))</x:f>
      </x:c>
    </x:row>
    <x:row r="21">
      <x:c r="A21" s="113" t="n">
        <x:v>46295</x:v>
      </x:c>
      <x:c r="B21" s="107" t="str">
        <x:v>Środa</x:v>
      </x:c>
      <x:c r="C21" s="107" t="str">
        <x:v>Tydzień 3 (Przejście po Oslo / regeneracja)</x:v>
      </x:c>
      <x:c r="D21" s="107" t="str">
        <x:v>Odbudowa po maratonie, zero heroizmu</x:v>
      </x:c>
      <x:c r="E21" s="107" t="str">
        <x:v>Tacx regeneracyjny</x:v>
      </x:c>
      <x:c r="F21" s="107" t="str">
        <x:v>60 min Z1 135-155 W. Bez sweet spot, bez T2.</x:v>
      </x:c>
      <x:c r="G21" s="107" t="str">
        <x:v>REGENERACJA</x:v>
      </x:c>
      <x:c r="H21" s="107" t="str">
        <x:v>Krążenie</x:v>
      </x:c>
      <x:c r="I21" s="107" t="str">
        <x:v>Normalne śniadanie, bez wymuszonego ładowania.</x:v>
      </x:c>
      <x:c r="J21" s="107" t="str">
        <x:v>Warzywa + białko + spokojna porcja węgli.</x:v>
      </x:c>
      <x:c r="K21" s="107" t="str">
        <x:v>Lekko, prosto, sen ważniejszy niż idealne makro.</x:v>
      </x:c>
      <x:c r="L21" s="107"/>
      <x:c r="M21" s="107"/>
      <x:c r="N21" s="107"/>
      <x:c r="O21" s="107"/>
      <x:c r="P21" s="107"/>
      <x:c r="Q21" s="107" t="str">
        <x:v>Nie nadrabiaj zaległości. Regeneracja jest częścią planu.</x:v>
      </x:c>
      <x:c r="V21" s="227"/>
      <x:c r="W21" s="228"/>
      <x:c r="X21" s="226"/>
      <x:c r="Y21" s="229"/>
      <x:c r="Z21" s="227"/>
      <x:c r="AA21" s="226" t="str">
        <x:f>IF(AND(L21="",M21="",N21="",Z21=""),"",IF(OR(M21&gt;=5,N21&lt;6,L21&gt;=8),"CZERWONY",IF(OR(M21&gt;=3,N21&lt;6.5,L21&gt;=7,Z21&lt;=4),"ŻÓŁTY","OK")))</x:f>
      </x:c>
      <x:c r="AB21" s="226" t="str">
        <x:f>IF(AA21="","",IF(AA21="OK","Realizuj plan normalnie.",IF(AA21="ŻÓŁTY","Skróć 10-30% albo zamień akcent na easy.", "STOP mocne bodźce: wolne/basen/Tacx Z1 48-72 h.")))</x:f>
      </x:c>
    </x:row>
    <x:row r="22" ht="26" customHeight="1">
      <x:c r="A22" s="148" t="n">
        <x:v>46296</x:v>
      </x:c>
      <x:c r="B22" s="149" t="str">
        <x:v>Czwartek</x:v>
      </x:c>
      <x:c r="C22" s="149" t="str">
        <x:v>Tydzień 3 (Przejście po Oslo / regeneracja)</x:v>
      </x:c>
      <x:c r="D22" s="150" t="str">
        <x:v>Odbudowa po maratonie, zero heroizmu</x:v>
      </x:c>
      <x:c r="E22" s="150" t="str">
        <x:v>Bieg easy + basen</x:v>
      </x:c>
      <x:c r="F22" s="150" t="str">
        <x:v>4-7 km easy lub marszobieg + 800-1000 m luz. Zero podbiegów.</x:v>
      </x:c>
      <x:c r="G22" s="150" t="str">
        <x:v>REGENERACJA</x:v>
      </x:c>
      <x:c r="H22" s="150" t="str">
        <x:v>Łagodne wejście</x:v>
      </x:c>
      <x:c r="I22" s="150" t="str">
        <x:v>Normalne śniadanie, bez wymuszonego ładowania.</x:v>
      </x:c>
      <x:c r="J22" s="150" t="str">
        <x:v>Warzywa + białko + spokojna porcja węgli.</x:v>
      </x:c>
      <x:c r="K22" s="150" t="str">
        <x:v>Lekko, prosto, sen ważniejszy niż idealne makro.</x:v>
      </x:c>
      <x:c r="L22" s="150"/>
      <x:c r="M22" s="150"/>
      <x:c r="N22" s="150"/>
      <x:c r="O22" s="150"/>
      <x:c r="P22" s="150"/>
      <x:c r="Q22" s="150" t="str">
        <x:v>Nie nadrabiaj zaległości. Regeneracja jest częścią planu.</x:v>
      </x:c>
      <x:c r="R22" s="136" t="str">
        <x:v>PAŹDZIERNIK 2026</x:v>
      </x:c>
      <x:c r="V22" s="227"/>
      <x:c r="W22" s="228"/>
      <x:c r="X22" s="226"/>
      <x:c r="Y22" s="229"/>
      <x:c r="Z22" s="227"/>
      <x:c r="AA22" s="226" t="str">
        <x:f>IF(AND(L22="",M22="",N22="",Z22=""),"",IF(OR(M22&gt;=5,N22&lt;6,L22&gt;=8),"CZERWONY",IF(OR(M22&gt;=3,N22&lt;6.5,L22&gt;=7,Z22&lt;=4),"ŻÓŁTY","OK")))</x:f>
      </x:c>
      <x:c r="AB22" s="226" t="str">
        <x:f>IF(AA22="","",IF(AA22="OK","Realizuj plan normalnie.",IF(AA22="ŻÓŁTY","Skróć 10-30% albo zamień akcent na easy.", "STOP mocne bodźce: wolne/basen/Tacx Z1 48-72 h.")))</x:f>
      </x:c>
    </x:row>
    <x:row r="23">
      <x:c r="A23" s="71" t="n">
        <x:v>46297</x:v>
      </x:c>
      <x:c r="B23" s="72" t="str">
        <x:v>Piątek</x:v>
      </x:c>
      <x:c r="C23" s="72" t="str">
        <x:v>Tydzień 3 (Przejście po Oslo / regeneracja)</x:v>
      </x:c>
      <x:c r="D23" s="72" t="str">
        <x:v>Odbudowa po maratonie, zero heroizmu</x:v>
      </x:c>
      <x:c r="E23" s="72" t="str">
        <x:v>WOLNE</x:v>
      </x:c>
      <x:c r="F23" s="72" t="str">
        <x:v>Pełny odpoczynek. Sen i jedzenie ważniejsze niż trening.</x:v>
      </x:c>
      <x:c r="G23" s="72" t="str">
        <x:v>WOLNE</x:v>
      </x:c>
      <x:c r="H23" s="72" t="str">
        <x:v>Adaptacja</x:v>
      </x:c>
      <x:c r="I23" s="72" t="str">
        <x:v>Normalne śniadanie, bez wymuszonego ładowania.</x:v>
      </x:c>
      <x:c r="J23" s="72" t="str">
        <x:v>Warzywa + białko + spokojna porcja węgli.</x:v>
      </x:c>
      <x:c r="K23" s="72" t="str">
        <x:v>Lekko, prosto, sen ważniejszy niż idealne makro.</x:v>
      </x:c>
      <x:c r="L23" s="72"/>
      <x:c r="M23" s="72"/>
      <x:c r="N23" s="72"/>
      <x:c r="O23" s="72"/>
      <x:c r="P23" s="72"/>
      <x:c r="Q23" s="72" t="str">
        <x:v>Nie nadrabiaj zaległości. Regeneracja jest częścią planu.</x:v>
      </x:c>
      <x:c r="V23" s="227"/>
      <x:c r="W23" s="228"/>
      <x:c r="X23" s="226"/>
      <x:c r="Y23" s="229"/>
      <x:c r="Z23" s="227"/>
      <x:c r="AA23" s="226" t="str">
        <x:f>IF(AND(L23="",M23="",N23="",Z23=""),"",IF(OR(M23&gt;=5,N23&lt;6,L23&gt;=8),"CZERWONY",IF(OR(M23&gt;=3,N23&lt;6.5,L23&gt;=7,Z23&lt;=4),"ŻÓŁTY","OK")))</x:f>
      </x:c>
      <x:c r="AB23" s="226" t="str">
        <x:f>IF(AA23="","",IF(AA23="OK","Realizuj plan normalnie.",IF(AA23="ŻÓŁTY","Skróć 10-30% albo zamień akcent na easy.", "STOP mocne bodźce: wolne/basen/Tacx Z1 48-72 h.")))</x:f>
      </x:c>
    </x:row>
    <x:row r="24">
      <x:c r="A24" s="113" t="n">
        <x:v>46298</x:v>
      </x:c>
      <x:c r="B24" s="107" t="str">
        <x:v>Sobota</x:v>
      </x:c>
      <x:c r="C24" s="107" t="str">
        <x:v>Tydzień 3 (Przejście po Oslo / regeneracja)</x:v>
      </x:c>
      <x:c r="D24" s="107" t="str">
        <x:v>Odbudowa po maratonie, zero heroizmu</x:v>
      </x:c>
      <x:c r="E24" s="107" t="str">
        <x:v>Tacx Z1/Z2</x:v>
      </x:c>
      <x:c r="F24" s="107" t="str">
        <x:v>75 min bardzo spokojnie. Bez zakładki T2 w tygodniach przejściowych.</x:v>
      </x:c>
      <x:c r="G24" s="107" t="str">
        <x:v>REGENERACJA</x:v>
      </x:c>
      <x:c r="H24" s="107" t="str">
        <x:v>Tlen</x:v>
      </x:c>
      <x:c r="I24" s="107" t="str">
        <x:v>Normalne śniadanie, bez wymuszonego ładowania.</x:v>
      </x:c>
      <x:c r="J24" s="107" t="str">
        <x:v>Warzywa + białko + spokojna porcja węgli.</x:v>
      </x:c>
      <x:c r="K24" s="107" t="str">
        <x:v>Lekko, prosto, sen ważniejszy niż idealne makro.</x:v>
      </x:c>
      <x:c r="L24" s="107"/>
      <x:c r="M24" s="107"/>
      <x:c r="N24" s="107"/>
      <x:c r="O24" s="107"/>
      <x:c r="P24" s="107"/>
      <x:c r="Q24" s="107" t="str">
        <x:v>Nie nadrabiaj zaległości. Regeneracja jest częścią planu.</x:v>
      </x:c>
      <x:c r="V24" s="227"/>
      <x:c r="W24" s="228"/>
      <x:c r="X24" s="226"/>
      <x:c r="Y24" s="229"/>
      <x:c r="Z24" s="227"/>
      <x:c r="AA24" s="226" t="str">
        <x:f>IF(AND(L24="",M24="",N24="",Z24=""),"",IF(OR(M24&gt;=5,N24&lt;6,L24&gt;=8),"CZERWONY",IF(OR(M24&gt;=3,N24&lt;6.5,L24&gt;=7,Z24&lt;=4),"ŻÓŁTY","OK")))</x:f>
      </x:c>
      <x:c r="AB24" s="226" t="str">
        <x:f>IF(AA24="","",IF(AA24="OK","Realizuj plan normalnie.",IF(AA24="ŻÓŁTY","Skróć 10-30% albo zamień akcent na easy.", "STOP mocne bodźce: wolne/basen/Tacx Z1 48-72 h.")))</x:f>
      </x:c>
    </x:row>
    <x:row r="25">
      <x:c r="A25" s="65" t="n">
        <x:v>46299</x:v>
      </x:c>
      <x:c r="B25" s="66" t="str">
        <x:v>Niedziela</x:v>
      </x:c>
      <x:c r="C25" s="66" t="str">
        <x:v>Tydzień 3 (Przejście po Oslo / regeneracja)</x:v>
      </x:c>
      <x:c r="D25" s="66" t="str">
        <x:v>Odbudowa po maratonie, zero heroizmu</x:v>
      </x:c>
      <x:c r="E25" s="66" t="str">
        <x:v>Bieg easy</x:v>
      </x:c>
      <x:c r="F25" s="66" t="str">
        <x:v>WOLNE albo 20-40 min easy/spacer. Maraton ma zejść z nóg.</x:v>
      </x:c>
      <x:c r="G25" s="66" t="str">
        <x:v>REGENERACJA</x:v>
      </x:c>
      <x:c r="H25" s="66" t="str">
        <x:v>Odbudowa</x:v>
      </x:c>
      <x:c r="I25" s="66" t="str">
        <x:v>Normalne śniadanie, bez wymuszonego ładowania.</x:v>
      </x:c>
      <x:c r="J25" s="66" t="str">
        <x:v>Warzywa + białko + spokojna porcja węgli.</x:v>
      </x:c>
      <x:c r="K25" s="66" t="str">
        <x:v>Lekko, prosto, sen ważniejszy niż idealne makro.</x:v>
      </x:c>
      <x:c r="L25" s="66"/>
      <x:c r="M25" s="66"/>
      <x:c r="N25" s="66"/>
      <x:c r="O25" s="66"/>
      <x:c r="P25" s="66"/>
      <x:c r="Q25" s="66" t="str">
        <x:v>Nie nadrabiaj zaległości. Regeneracja jest częścią planu.</x:v>
      </x:c>
      <x:c r="V25" s="227"/>
      <x:c r="W25" s="228"/>
      <x:c r="X25" s="226"/>
      <x:c r="Y25" s="229"/>
      <x:c r="Z25" s="227"/>
      <x:c r="AA25" s="226" t="str">
        <x:f>IF(AND(L25="",M25="",N25="",Z25=""),"",IF(OR(M25&gt;=5,N25&lt;6,L25&gt;=8),"CZERWONY",IF(OR(M25&gt;=3,N25&lt;6.5,L25&gt;=7,Z25&lt;=4),"ŻÓŁTY","OK")))</x:f>
      </x:c>
      <x:c r="AB25" s="226" t="str">
        <x:f>IF(AA25="","",IF(AA25="OK","Realizuj plan normalnie.",IF(AA25="ŻÓŁTY","Skróć 10-30% albo zamień akcent na easy.", "STOP mocne bodźce: wolne/basen/Tacx Z1 48-72 h.")))</x:f>
      </x:c>
    </x:row>
    <x:row r="26">
      <x:c r="A26" s="77" t="n">
        <x:v>46300</x:v>
      </x:c>
      <x:c r="B26" s="78" t="str">
        <x:v>Poniedziałek</x:v>
      </x:c>
      <x:c r="C26" s="78" t="str">
        <x:v>Tydzień 4 (Baza 1)</x:v>
      </x:c>
      <x:c r="D26" s="78" t="str">
        <x:v>Technika pływania + tlen + spokojne wejście w rower</x:v>
      </x:c>
      <x:c r="E26" s="78" t="str">
        <x:v>BASEN technika</x:v>
      </x:c>
      <x:c r="F26" s="78" t="str">
        <x:v>1200-1800 m technika: pozycja, oddech, chwyt + 6-8x50 m spokojnie. Celem jest jakość ruchu, nie metry.</x:v>
      </x:c>
      <x:c r="G26" s="78" t="str">
        <x:v>ŁATWY</x:v>
      </x:c>
      <x:c r="H26" s="78" t="str">
        <x:v>Progresja pływania/CSS</x:v>
      </x:c>
      <x:c r="I26" s="78" t="str">
        <x:v>Jajka lub jogurt/skyr + owoce; kawa spokojnie.</x:v>
      </x:c>
      <x:c r="J26" s="78" t="str">
        <x:v>Zupa/kasza/ryż + warzywa + białko; nawodnienie.</x:v>
      </x:c>
      <x:c r="K26" s="78" t="str">
        <x:v>Lekka kolacja: ryż/ziemniaki + ryba/tofu/jaja + warzywa.</x:v>
      </x:c>
      <x:c r="L26" s="78"/>
      <x:c r="M26" s="78"/>
      <x:c r="N26" s="78"/>
      <x:c r="O26" s="78"/>
      <x:c r="P26" s="78"/>
      <x:c r="Q26" s="78" t="str">
        <x:v>Jeśli technika się sypie: skróć odcinki, wydłuż przerwy, nie dokładaj metrów.</x:v>
      </x:c>
      <x:c r="V26" s="227"/>
      <x:c r="W26" s="228"/>
      <x:c r="X26" s="226"/>
      <x:c r="Y26" s="229"/>
      <x:c r="Z26" s="227"/>
      <x:c r="AA26" s="226" t="str">
        <x:f>IF(AND(L26="",M26="",N26="",Z26=""),"",IF(OR(M26&gt;=5,N26&lt;6,L26&gt;=8),"CZERWONY",IF(OR(M26&gt;=3,N26&lt;6.5,L26&gt;=7,Z26&lt;=4),"ŻÓŁTY","OK")))</x:f>
      </x:c>
      <x:c r="AB26" s="226" t="str">
        <x:f>IF(AA26="","",IF(AA26="OK","Realizuj plan normalnie.",IF(AA26="ŻÓŁTY","Skróć 10-30% albo zamień akcent na easy.", "STOP mocne bodźce: wolne/basen/Tacx Z1 48-72 h.")))</x:f>
      </x:c>
    </x:row>
    <x:row r="27">
      <x:c r="A27" s="77" t="n">
        <x:v>46301</x:v>
      </x:c>
      <x:c r="B27" s="78" t="str">
        <x:v>Wtorek</x:v>
      </x:c>
      <x:c r="C27" s="78" t="str">
        <x:v>Tydzień 4 (Baza 1)</x:v>
      </x:c>
      <x:c r="D27" s="78" t="str">
        <x:v>Technika pływania + tlen + spokojne wejście w rower</x:v>
      </x:c>
      <x:c r="E27" s="78" t="str">
        <x:v>Bieg easy/steady</x:v>
      </x:c>
      <x:c r="F27" s="78" t="str">
        <x:v>8-12 km easy, w środku 6x1 min żywiej albo 20 min steady. Bez interwałów na siłę.</x:v>
      </x:c>
      <x:c r="G27" s="78" t="str">
        <x:v>ŁATWY</x:v>
      </x:c>
      <x:c r="H27" s="78" t="str">
        <x:v>Baza biegowa</x:v>
      </x:c>
      <x:c r="I27" s="78" t="str">
        <x:v>Jajka lub jogurt/skyr + owoce; kawa spokojnie.</x:v>
      </x:c>
      <x:c r="J27" s="78" t="str">
        <x:v>Zupa/kasza/ryż + warzywa + białko; nawodnienie.</x:v>
      </x:c>
      <x:c r="K27" s="78" t="str">
        <x:v>Lekka kolacja: ryż/ziemniaki + ryba/tofu/jaja + warzywa.</x:v>
      </x:c>
      <x:c r="L27" s="78"/>
      <x:c r="M27" s="78"/>
      <x:c r="N27" s="78"/>
      <x:c r="O27" s="78"/>
      <x:c r="P27" s="78"/>
      <x:c r="Q27" s="78" t="str">
        <x:v>Jeśli nogi ciężkie: skróć o 20-30% i trzymaj Z1/Z2.</x:v>
      </x:c>
      <x:c r="V27" s="227"/>
      <x:c r="W27" s="228"/>
      <x:c r="X27" s="226"/>
      <x:c r="Y27" s="229"/>
      <x:c r="Z27" s="227"/>
      <x:c r="AA27" s="226" t="str">
        <x:f>IF(AND(L27="",M27="",N27="",Z27=""),"",IF(OR(M27&gt;=5,N27&lt;6,L27&gt;=8),"CZERWONY",IF(OR(M27&gt;=3,N27&lt;6.5,L27&gt;=7,Z27&lt;=4),"ŻÓŁTY","OK")))</x:f>
      </x:c>
      <x:c r="AB27" s="226" t="str">
        <x:f>IF(AA27="","",IF(AA27="OK","Realizuj plan normalnie.",IF(AA27="ŻÓŁTY","Skróć 10-30% albo zamień akcent na easy.", "STOP mocne bodźce: wolne/basen/Tacx Z1 48-72 h.")))</x:f>
      </x:c>
    </x:row>
    <x:row r="28">
      <x:c r="A28" s="53" t="n">
        <x:v>46302</x:v>
      </x:c>
      <x:c r="B28" s="54" t="str">
        <x:v>Środa</x:v>
      </x:c>
      <x:c r="C28" s="54" t="str">
        <x:v>Tydzień 4 (Baza 1)</x:v>
      </x:c>
      <x:c r="D28" s="54" t="str">
        <x:v>Technika pływania + tlen + spokojne wejście w rower</x:v>
      </x:c>
      <x:c r="E28" s="54" t="str">
        <x:v>TEST FTP / Ramp lub 20 min</x:v>
      </x:c>
      <x:c r="F28" s="54" t="str">
        <x:v>Rozgrzewka 20 min + ramp test albo 20 min FTP + schłodzenie. Po teście aktualizuj strefy watów.</x:v>
      </x:c>
      <x:c r="G28" s="54" t="str">
        <x:v>TEST/START</x:v>
      </x:c>
      <x:c r="H28" s="54" t="str">
        <x:v>Kalibracja mocy</x:v>
      </x:c>
      <x:c r="I28" s="54" t="str">
        <x:v>3 h przed: sprawdzony posiłek węglowodanowy; bez nowych produktów.</x:v>
      </x:c>
      <x:c r="J28" s="54" t="str">
        <x:v>Po treningu: ryż/ziemniaki + białko + sól/elektrolity.</x:v>
      </x:c>
      <x:c r="K28" s="54" t="str">
        <x:v>Kolacja regeneracyjna: węgle + białko + warzywa; uzupełnij płyny.</x:v>
      </x:c>
      <x:c r="L28" s="54"/>
      <x:c r="M28" s="54"/>
      <x:c r="N28" s="54"/>
      <x:c r="O28" s="54"/>
      <x:c r="P28" s="54"/>
      <x:c r="Q28" s="54" t="str">
        <x:v>Jeśli ból ≥3/10 lub sen &lt;6 h: zamień na easy 30-45 min albo basen.</x:v>
      </x:c>
      <x:c r="V28" s="227"/>
      <x:c r="W28" s="228"/>
      <x:c r="X28" s="226"/>
      <x:c r="Y28" s="229"/>
      <x:c r="Z28" s="227"/>
      <x:c r="AA28" s="226" t="str">
        <x:f>IF(AND(L28="",M28="",N28="",Z28=""),"",IF(OR(M28&gt;=5,N28&lt;6,L28&gt;=8),"CZERWONY",IF(OR(M28&gt;=3,N28&lt;6.5,L28&gt;=7,Z28&lt;=4),"ŻÓŁTY","OK")))</x:f>
      </x:c>
      <x:c r="AB28" s="226" t="str">
        <x:f>IF(AA28="","",IF(AA28="OK","Realizuj plan normalnie.",IF(AA28="ŻÓŁTY","Skróć 10-30% albo zamień akcent na easy.", "STOP mocne bodźce: wolne/basen/Tacx Z1 48-72 h.")))</x:f>
      </x:c>
    </x:row>
    <x:row r="29">
      <x:c r="A29" s="77" t="n">
        <x:v>46303</x:v>
      </x:c>
      <x:c r="B29" s="78" t="str">
        <x:v>Czwartek</x:v>
      </x:c>
      <x:c r="C29" s="78" t="str">
        <x:v>Tydzień 4 (Baza 1)</x:v>
      </x:c>
      <x:c r="D29" s="78" t="str">
        <x:v>Technika pływania + tlen + spokojne wejście w rower</x:v>
      </x:c>
      <x:c r="E29" s="78" t="str">
        <x:v>Bieg easy + BASEN</x:v>
      </x:c>
      <x:c r="F29" s="78" t="str">
        <x:v>RANO: 6-10 km easy + mobility. WIECZÓR: 1200-1800 m technika: pozycja, oddech, chwyt + 6-8x50 m spokojnie. Celem jest jakość ruchu, nie metry.</x:v>
      </x:c>
      <x:c r="G29" s="78" t="str">
        <x:v>ŁATWY</x:v>
      </x:c>
      <x:c r="H29" s="78" t="str">
        <x:v>Progresja pływania/CSS</x:v>
      </x:c>
      <x:c r="I29" s="78" t="str">
        <x:v>Jajka lub jogurt/skyr + owoce; kawa spokojnie.</x:v>
      </x:c>
      <x:c r="J29" s="78" t="str">
        <x:v>Zupa/kasza/ryż + warzywa + białko; nawodnienie.</x:v>
      </x:c>
      <x:c r="K29" s="78" t="str">
        <x:v>Lekka kolacja: ryż/ziemniaki + ryba/tofu/jaja + warzywa.</x:v>
      </x:c>
      <x:c r="L29" s="78"/>
      <x:c r="M29" s="78"/>
      <x:c r="N29" s="78"/>
      <x:c r="O29" s="78"/>
      <x:c r="P29" s="78"/>
      <x:c r="Q29" s="78" t="str">
        <x:v>Jeśli technika się sypie: skróć odcinki, wydłuż przerwy, nie dokładaj metrów.</x:v>
      </x:c>
      <x:c r="V29" s="227"/>
      <x:c r="W29" s="228"/>
      <x:c r="X29" s="226"/>
      <x:c r="Y29" s="229"/>
      <x:c r="Z29" s="227"/>
      <x:c r="AA29" s="226" t="str">
        <x:f>IF(AND(L29="",M29="",N29="",Z29=""),"",IF(OR(M29&gt;=5,N29&lt;6,L29&gt;=8),"CZERWONY",IF(OR(M29&gt;=3,N29&lt;6.5,L29&gt;=7,Z29&lt;=4),"ŻÓŁTY","OK")))</x:f>
      </x:c>
      <x:c r="AB29" s="226" t="str">
        <x:f>IF(AA29="","",IF(AA29="OK","Realizuj plan normalnie.",IF(AA29="ŻÓŁTY","Skróć 10-30% albo zamień akcent na easy.", "STOP mocne bodźce: wolne/basen/Tacx Z1 48-72 h.")))</x:f>
      </x:c>
    </x:row>
    <x:row r="30">
      <x:c r="A30" s="71" t="n">
        <x:v>46304</x:v>
      </x:c>
      <x:c r="B30" s="72" t="str">
        <x:v>Piątek</x:v>
      </x:c>
      <x:c r="C30" s="72" t="str">
        <x:v>Tydzień 4 (Baza 1)</x:v>
      </x:c>
      <x:c r="D30" s="72" t="str">
        <x:v>Technika pływania + tlen + spokojne wejście w rower</x:v>
      </x:c>
      <x:c r="E30" s="72" t="str">
        <x:v>WOLNE</x:v>
      </x:c>
      <x:c r="F30" s="72" t="str">
        <x:v>Pełna regeneracja. Zero nadrabiania. Sprawdź sen, RPE i ból.</x:v>
      </x:c>
      <x:c r="G30" s="72" t="str">
        <x:v>WOLNE</x:v>
      </x:c>
      <x:c r="H30" s="72" t="str">
        <x:v>Adaptacja</x:v>
      </x:c>
      <x:c r="I30" s="72" t="str">
        <x:v>Normalne śniadanie, bez wymuszonego ładowania.</x:v>
      </x:c>
      <x:c r="J30" s="72" t="str">
        <x:v>Warzywa + białko + spokojna porcja węgli.</x:v>
      </x:c>
      <x:c r="K30" s="72" t="str">
        <x:v>Lekko, prosto, sen ważniejszy niż idealne makro.</x:v>
      </x:c>
      <x:c r="L30" s="72"/>
      <x:c r="M30" s="72"/>
      <x:c r="N30" s="72"/>
      <x:c r="O30" s="72"/>
      <x:c r="P30" s="72"/>
      <x:c r="Q30" s="72" t="str">
        <x:v>Nie nadrabiaj zaległości. Regeneracja jest częścią planu.</x:v>
      </x:c>
      <x:c r="V30" s="227"/>
      <x:c r="W30" s="228"/>
      <x:c r="X30" s="226"/>
      <x:c r="Y30" s="229"/>
      <x:c r="Z30" s="227"/>
      <x:c r="AA30" s="226" t="str">
        <x:f>IF(AND(L30="",M30="",N30="",Z30=""),"",IF(OR(M30&gt;=5,N30&lt;6,L30&gt;=8),"CZERWONY",IF(OR(M30&gt;=3,N30&lt;6.5,L30&gt;=7,Z30&lt;=4),"ŻÓŁTY","OK")))</x:f>
      </x:c>
      <x:c r="AB30" s="226" t="str">
        <x:f>IF(AA30="","",IF(AA30="OK","Realizuj plan normalnie.",IF(AA30="ŻÓŁTY","Skróć 10-30% albo zamień akcent na easy.", "STOP mocne bodźce: wolne/basen/Tacx Z1 48-72 h.")))</x:f>
      </x:c>
    </x:row>
    <x:row r="31">
      <x:c r="A31" s="77" t="n">
        <x:v>46305</x:v>
      </x:c>
      <x:c r="B31" s="78" t="str">
        <x:v>Sobota</x:v>
      </x:c>
      <x:c r="C31" s="78" t="str">
        <x:v>Tydzień 4 (Baza 1)</x:v>
      </x:c>
      <x:c r="D31" s="78" t="str">
        <x:v>Technika pływania + tlen + spokojne wejście w rower</x:v>
      </x:c>
      <x:c r="E31" s="78" t="str">
        <x:v>Rower długi + Zakładka T2</x:v>
      </x:c>
      <x:c r="F31" s="78" t="str">
        <x:v>90 min Z2 z kontrolą kadencji + 2 km T2 easy. Paliwo 60-80 g węgli/h.</x:v>
      </x:c>
      <x:c r="G31" s="78" t="str">
        <x:v>LONG</x:v>
      </x:c>
      <x:c r="H31" s="78" t="str">
        <x:v>Rower + adaptacja T2</x:v>
      </x:c>
      <x:c r="I31" s="78" t="str">
        <x:v>3 h przed: sprawdzony posiłek węglowodanowy; bez nowych produktów.</x:v>
      </x:c>
      <x:c r="J31" s="78" t="str">
        <x:v>Po treningu: ryż/ziemniaki + białko + sól/elektrolity.</x:v>
      </x:c>
      <x:c r="K31" s="78" t="str">
        <x:v>Kolacja regeneracyjna: węgle + białko + warzywa; uzupełnij płyny.</x:v>
      </x:c>
      <x:c r="L31" s="78"/>
      <x:c r="M31" s="78"/>
      <x:c r="N31" s="78"/>
      <x:c r="O31" s="78"/>
      <x:c r="P31" s="78"/>
      <x:c r="Q31" s="78" t="str">
        <x:v>Jeśli ból narasta lub RPE &gt;7 przed połową: skróć, nie nadrabiaj kilometrów.</x:v>
      </x:c>
      <x:c r="V31" s="227"/>
      <x:c r="W31" s="228"/>
      <x:c r="X31" s="226"/>
      <x:c r="Y31" s="229"/>
      <x:c r="Z31" s="227"/>
      <x:c r="AA31" s="226" t="str">
        <x:f>IF(AND(L31="",M31="",N31="",Z31=""),"",IF(OR(M31&gt;=5,N31&lt;6,L31&gt;=8),"CZERWONY",IF(OR(M31&gt;=3,N31&lt;6.5,L31&gt;=7,Z31&lt;=4),"ŻÓŁTY","OK")))</x:f>
      </x:c>
      <x:c r="AB31" s="226" t="str">
        <x:f>IF(AA31="","",IF(AA31="OK","Realizuj plan normalnie.",IF(AA31="ŻÓŁTY","Skróć 10-30% albo zamień akcent na easy.", "STOP mocne bodźce: wolne/basen/Tacx Z1 48-72 h.")))</x:f>
      </x:c>
    </x:row>
    <x:row r="32">
      <x:c r="A32" s="77" t="n">
        <x:v>46306</x:v>
      </x:c>
      <x:c r="B32" s="78" t="str">
        <x:v>Niedziela</x:v>
      </x:c>
      <x:c r="C32" s="78" t="str">
        <x:v>Tydzień 4 (Baza 1)</x:v>
      </x:c>
      <x:c r="D32" s="78" t="str">
        <x:v>Technika pływania + tlen + spokojne wejście w rower</x:v>
      </x:c>
      <x:c r="E32" s="78" t="str">
        <x:v>Bieg easy</x:v>
      </x:c>
      <x:c r="F32" s="78" t="str">
        <x:v>8-10 km easy 5:40-6:10/km. Tylko tlen.</x:v>
      </x:c>
      <x:c r="G32" s="78" t="str">
        <x:v>ŁATWY</x:v>
      </x:c>
      <x:c r="H32" s="78" t="str">
        <x:v>Baza biegowa</x:v>
      </x:c>
      <x:c r="I32" s="78" t="str">
        <x:v>Jajka lub jogurt/skyr + owoce; kawa spokojnie.</x:v>
      </x:c>
      <x:c r="J32" s="78" t="str">
        <x:v>Zupa/kasza/ryż + warzywa + białko; nawodnienie.</x:v>
      </x:c>
      <x:c r="K32" s="78" t="str">
        <x:v>Lekka kolacja: ryż/ziemniaki + ryba/tofu/jaja + warzywa.</x:v>
      </x:c>
      <x:c r="L32" s="78"/>
      <x:c r="M32" s="78"/>
      <x:c r="N32" s="78"/>
      <x:c r="O32" s="78"/>
      <x:c r="P32" s="78"/>
      <x:c r="Q32" s="78" t="str">
        <x:v>Jeśli nogi ciężkie: skróć o 20-30% i trzymaj Z1/Z2.</x:v>
      </x:c>
      <x:c r="V32" s="227"/>
      <x:c r="W32" s="228"/>
      <x:c r="X32" s="226"/>
      <x:c r="Y32" s="229"/>
      <x:c r="Z32" s="227"/>
      <x:c r="AA32" s="226" t="str">
        <x:f>IF(AND(L32="",M32="",N32="",Z32=""),"",IF(OR(M32&gt;=5,N32&lt;6,L32&gt;=8),"CZERWONY",IF(OR(M32&gt;=3,N32&lt;6.5,L32&gt;=7,Z32&lt;=4),"ŻÓŁTY","OK")))</x:f>
      </x:c>
      <x:c r="AB32" s="226" t="str">
        <x:f>IF(AA32="","",IF(AA32="OK","Realizuj plan normalnie.",IF(AA32="ŻÓŁTY","Skróć 10-30% albo zamień akcent na easy.", "STOP mocne bodźce: wolne/basen/Tacx Z1 48-72 h.")))</x:f>
      </x:c>
    </x:row>
    <x:row r="33">
      <x:c r="A33" s="77" t="n">
        <x:v>46307</x:v>
      </x:c>
      <x:c r="B33" s="78" t="str">
        <x:v>Poniedziałek</x:v>
      </x:c>
      <x:c r="C33" s="78" t="str">
        <x:v>Tydzień 5 (Baza 1)</x:v>
      </x:c>
      <x:c r="D33" s="78" t="str">
        <x:v>Technika pływania + tlen + spokojne wejście w rower</x:v>
      </x:c>
      <x:c r="E33" s="78" t="str">
        <x:v>BASEN technika</x:v>
      </x:c>
      <x:c r="F33" s="78" t="str">
        <x:v>1200-1800 m technika: pozycja, oddech, chwyt + 6-8x50 m spokojnie. Celem jest jakość ruchu, nie metry.</x:v>
      </x:c>
      <x:c r="G33" s="78" t="str">
        <x:v>ŁATWY</x:v>
      </x:c>
      <x:c r="H33" s="78" t="str">
        <x:v>Progresja pływania/CSS</x:v>
      </x:c>
      <x:c r="I33" s="78" t="str">
        <x:v>Jajka lub jogurt/skyr + owoce; kawa spokojnie.</x:v>
      </x:c>
      <x:c r="J33" s="78" t="str">
        <x:v>Zupa/kasza/ryż + warzywa + białko; nawodnienie.</x:v>
      </x:c>
      <x:c r="K33" s="78" t="str">
        <x:v>Lekka kolacja: ryż/ziemniaki + ryba/tofu/jaja + warzywa.</x:v>
      </x:c>
      <x:c r="L33" s="78"/>
      <x:c r="M33" s="78"/>
      <x:c r="N33" s="78"/>
      <x:c r="O33" s="78"/>
      <x:c r="P33" s="78"/>
      <x:c r="Q33" s="78" t="str">
        <x:v>Jeśli technika się sypie: skróć odcinki, wydłuż przerwy, nie dokładaj metrów.</x:v>
      </x:c>
      <x:c r="V33" s="227"/>
      <x:c r="W33" s="228"/>
      <x:c r="X33" s="226"/>
      <x:c r="Y33" s="229"/>
      <x:c r="Z33" s="227"/>
      <x:c r="AA33" s="226" t="str">
        <x:f>IF(AND(L33="",M33="",N33="",Z33=""),"",IF(OR(M33&gt;=5,N33&lt;6,L33&gt;=8),"CZERWONY",IF(OR(M33&gt;=3,N33&lt;6.5,L33&gt;=7,Z33&lt;=4),"ŻÓŁTY","OK")))</x:f>
      </x:c>
      <x:c r="AB33" s="226" t="str">
        <x:f>IF(AA33="","",IF(AA33="OK","Realizuj plan normalnie.",IF(AA33="ŻÓŁTY","Skróć 10-30% albo zamień akcent na easy.", "STOP mocne bodźce: wolne/basen/Tacx Z1 48-72 h.")))</x:f>
      </x:c>
    </x:row>
    <x:row r="34">
      <x:c r="A34" s="77" t="n">
        <x:v>46308</x:v>
      </x:c>
      <x:c r="B34" s="78" t="str">
        <x:v>Wtorek</x:v>
      </x:c>
      <x:c r="C34" s="78" t="str">
        <x:v>Tydzień 5 (Baza 1)</x:v>
      </x:c>
      <x:c r="D34" s="78" t="str">
        <x:v>Technika pływania + tlen + spokojne wejście w rower</x:v>
      </x:c>
      <x:c r="E34" s="78" t="str">
        <x:v>Bieg easy/steady</x:v>
      </x:c>
      <x:c r="F34" s="78" t="str">
        <x:v>8-12 km easy, w środku 6x1 min żywiej albo 20 min steady. Bez interwałów na siłę.</x:v>
      </x:c>
      <x:c r="G34" s="78" t="str">
        <x:v>ŁATWY</x:v>
      </x:c>
      <x:c r="H34" s="78" t="str">
        <x:v>Baza biegowa</x:v>
      </x:c>
      <x:c r="I34" s="78" t="str">
        <x:v>Jajka lub jogurt/skyr + owoce; kawa spokojnie.</x:v>
      </x:c>
      <x:c r="J34" s="78" t="str">
        <x:v>Zupa/kasza/ryż + warzywa + białko; nawodnienie.</x:v>
      </x:c>
      <x:c r="K34" s="78" t="str">
        <x:v>Lekka kolacja: ryż/ziemniaki + ryba/tofu/jaja + warzywa.</x:v>
      </x:c>
      <x:c r="L34" s="78"/>
      <x:c r="M34" s="78"/>
      <x:c r="N34" s="78"/>
      <x:c r="O34" s="78"/>
      <x:c r="P34" s="78"/>
      <x:c r="Q34" s="78" t="str">
        <x:v>Jeśli nogi ciężkie: skróć o 20-30% i trzymaj Z1/Z2.</x:v>
      </x:c>
      <x:c r="V34" s="227"/>
      <x:c r="W34" s="228"/>
      <x:c r="X34" s="226"/>
      <x:c r="Y34" s="229"/>
      <x:c r="Z34" s="227"/>
      <x:c r="AA34" s="226" t="str">
        <x:f>IF(AND(L34="",M34="",N34="",Z34=""),"",IF(OR(M34&gt;=5,N34&lt;6,L34&gt;=8),"CZERWONY",IF(OR(M34&gt;=3,N34&lt;6.5,L34&gt;=7,Z34&lt;=4),"ŻÓŁTY","OK")))</x:f>
      </x:c>
      <x:c r="AB34" s="226" t="str">
        <x:f>IF(AA34="","",IF(AA34="OK","Realizuj plan normalnie.",IF(AA34="ŻÓŁTY","Skróć 10-30% albo zamień akcent na easy.", "STOP mocne bodźce: wolne/basen/Tacx Z1 48-72 h.")))</x:f>
      </x:c>
    </x:row>
    <x:row r="35">
      <x:c r="A35" s="77" t="n">
        <x:v>46309</x:v>
      </x:c>
      <x:c r="B35" s="78" t="str">
        <x:v>Środa</x:v>
      </x:c>
      <x:c r="C35" s="78" t="str">
        <x:v>Tydzień 5 (Baza 1)</x:v>
      </x:c>
      <x:c r="D35" s="78" t="str">
        <x:v>Technika pływania + tlen + spokojne wejście w rower</x:v>
      </x:c>
      <x:c r="E35" s="78" t="str">
        <x:v>Tacx Z2</x:v>
      </x:c>
      <x:c r="F35" s="78" t="str">
        <x:v>60-80 min Z2 160-190 W, 3x6 min kadencja 95-100 rpm. Bez progu.</x:v>
      </x:c>
      <x:c r="G35" s="78" t="str">
        <x:v>ŁATWY</x:v>
      </x:c>
      <x:c r="H35" s="78" t="str">
        <x:v>Baza rowerowa</x:v>
      </x:c>
      <x:c r="I35" s="78" t="str">
        <x:v>Jajka lub jogurt/skyr + owoce; kawa spokojnie.</x:v>
      </x:c>
      <x:c r="J35" s="78" t="str">
        <x:v>Zupa/kasza/ryż + warzywa + białko; nawodnienie.</x:v>
      </x:c>
      <x:c r="K35" s="78" t="str">
        <x:v>Lekka kolacja: ryż/ziemniaki + ryba/tofu/jaja + warzywa.</x:v>
      </x:c>
      <x:c r="L35" s="78"/>
      <x:c r="M35" s="78"/>
      <x:c r="N35" s="78"/>
      <x:c r="O35" s="78"/>
      <x:c r="P35" s="78"/>
      <x:c r="Q35" s="78" t="str">
        <x:v>Jeśli nogi ciężkie: skróć o 20-30% i trzymaj Z1/Z2.</x:v>
      </x:c>
      <x:c r="V35" s="227"/>
      <x:c r="W35" s="228"/>
      <x:c r="X35" s="226"/>
      <x:c r="Y35" s="229"/>
      <x:c r="Z35" s="227"/>
      <x:c r="AA35" s="226" t="str">
        <x:f>IF(AND(L35="",M35="",N35="",Z35=""),"",IF(OR(M35&gt;=5,N35&lt;6,L35&gt;=8),"CZERWONY",IF(OR(M35&gt;=3,N35&lt;6.5,L35&gt;=7,Z35&lt;=4),"ŻÓŁTY","OK")))</x:f>
      </x:c>
      <x:c r="AB35" s="226" t="str">
        <x:f>IF(AA35="","",IF(AA35="OK","Realizuj plan normalnie.",IF(AA35="ŻÓŁTY","Skróć 10-30% albo zamień akcent na easy.", "STOP mocne bodźce: wolne/basen/Tacx Z1 48-72 h.")))</x:f>
      </x:c>
    </x:row>
    <x:row r="36">
      <x:c r="A36" s="77" t="n">
        <x:v>46310</x:v>
      </x:c>
      <x:c r="B36" s="78" t="str">
        <x:v>Czwartek</x:v>
      </x:c>
      <x:c r="C36" s="78" t="str">
        <x:v>Tydzień 5 (Baza 1)</x:v>
      </x:c>
      <x:c r="D36" s="78" t="str">
        <x:v>Technika pływania + tlen + spokojne wejście w rower</x:v>
      </x:c>
      <x:c r="E36" s="78" t="str">
        <x:v>Bieg easy + BASEN</x:v>
      </x:c>
      <x:c r="F36" s="78" t="str">
        <x:v>RANO: 6-10 km easy + mobility. WIECZÓR: 1200-1800 m technika: pozycja, oddech, chwyt + 6-8x50 m spokojnie. Celem jest jakość ruchu, nie metry.</x:v>
      </x:c>
      <x:c r="G36" s="78" t="str">
        <x:v>ŁATWY</x:v>
      </x:c>
      <x:c r="H36" s="78" t="str">
        <x:v>Progresja pływania/CSS</x:v>
      </x:c>
      <x:c r="I36" s="78" t="str">
        <x:v>Jajka lub jogurt/skyr + owoce; kawa spokojnie.</x:v>
      </x:c>
      <x:c r="J36" s="78" t="str">
        <x:v>Zupa/kasza/ryż + warzywa + białko; nawodnienie.</x:v>
      </x:c>
      <x:c r="K36" s="78" t="str">
        <x:v>Lekka kolacja: ryż/ziemniaki + ryba/tofu/jaja + warzywa.</x:v>
      </x:c>
      <x:c r="L36" s="78"/>
      <x:c r="M36" s="78"/>
      <x:c r="N36" s="78"/>
      <x:c r="O36" s="78"/>
      <x:c r="P36" s="78"/>
      <x:c r="Q36" s="78" t="str">
        <x:v>Jeśli technika się sypie: skróć odcinki, wydłuż przerwy, nie dokładaj metrów.</x:v>
      </x:c>
      <x:c r="V36" s="227"/>
      <x:c r="W36" s="228"/>
      <x:c r="X36" s="226"/>
      <x:c r="Y36" s="229"/>
      <x:c r="Z36" s="227"/>
      <x:c r="AA36" s="226" t="str">
        <x:f>IF(AND(L36="",M36="",N36="",Z36=""),"",IF(OR(M36&gt;=5,N36&lt;6,L36&gt;=8),"CZERWONY",IF(OR(M36&gt;=3,N36&lt;6.5,L36&gt;=7,Z36&lt;=4),"ŻÓŁTY","OK")))</x:f>
      </x:c>
      <x:c r="AB36" s="226" t="str">
        <x:f>IF(AA36="","",IF(AA36="OK","Realizuj plan normalnie.",IF(AA36="ŻÓŁTY","Skróć 10-30% albo zamień akcent na easy.", "STOP mocne bodźce: wolne/basen/Tacx Z1 48-72 h.")))</x:f>
      </x:c>
    </x:row>
    <x:row r="37">
      <x:c r="A37" s="71" t="n">
        <x:v>46311</x:v>
      </x:c>
      <x:c r="B37" s="72" t="str">
        <x:v>Piątek</x:v>
      </x:c>
      <x:c r="C37" s="72" t="str">
        <x:v>Tydzień 5 (Baza 1)</x:v>
      </x:c>
      <x:c r="D37" s="72" t="str">
        <x:v>Technika pływania + tlen + spokojne wejście w rower</x:v>
      </x:c>
      <x:c r="E37" s="72" t="str">
        <x:v>WOLNE</x:v>
      </x:c>
      <x:c r="F37" s="72" t="str">
        <x:v>Pełna regeneracja. Zero nadrabiania. Sprawdź sen, RPE i ból.</x:v>
      </x:c>
      <x:c r="G37" s="72" t="str">
        <x:v>WOLNE</x:v>
      </x:c>
      <x:c r="H37" s="72" t="str">
        <x:v>Adaptacja</x:v>
      </x:c>
      <x:c r="I37" s="72" t="str">
        <x:v>Normalne śniadanie, bez wymuszonego ładowania.</x:v>
      </x:c>
      <x:c r="J37" s="72" t="str">
        <x:v>Warzywa + białko + spokojna porcja węgli.</x:v>
      </x:c>
      <x:c r="K37" s="72" t="str">
        <x:v>Lekko, prosto, sen ważniejszy niż idealne makro.</x:v>
      </x:c>
      <x:c r="L37" s="72"/>
      <x:c r="M37" s="72"/>
      <x:c r="N37" s="72"/>
      <x:c r="O37" s="72"/>
      <x:c r="P37" s="72"/>
      <x:c r="Q37" s="72" t="str">
        <x:v>Nie nadrabiaj zaległości. Regeneracja jest częścią planu.</x:v>
      </x:c>
      <x:c r="V37" s="227"/>
      <x:c r="W37" s="228"/>
      <x:c r="X37" s="226"/>
      <x:c r="Y37" s="229"/>
      <x:c r="Z37" s="227"/>
      <x:c r="AA37" s="226" t="str">
        <x:f>IF(AND(L37="",M37="",N37="",Z37=""),"",IF(OR(M37&gt;=5,N37&lt;6,L37&gt;=8),"CZERWONY",IF(OR(M37&gt;=3,N37&lt;6.5,L37&gt;=7,Z37&lt;=4),"ŻÓŁTY","OK")))</x:f>
      </x:c>
      <x:c r="AB37" s="226" t="str">
        <x:f>IF(AA37="","",IF(AA37="OK","Realizuj plan normalnie.",IF(AA37="ŻÓŁTY","Skróć 10-30% albo zamień akcent na easy.", "STOP mocne bodźce: wolne/basen/Tacx Z1 48-72 h.")))</x:f>
      </x:c>
    </x:row>
    <x:row r="38">
      <x:c r="A38" s="77" t="n">
        <x:v>46312</x:v>
      </x:c>
      <x:c r="B38" s="78" t="str">
        <x:v>Sobota</x:v>
      </x:c>
      <x:c r="C38" s="78" t="str">
        <x:v>Tydzień 5 (Baza 1)</x:v>
      </x:c>
      <x:c r="D38" s="78" t="str">
        <x:v>Technika pływania + tlen + spokojne wejście w rower</x:v>
      </x:c>
      <x:c r="E38" s="78" t="str">
        <x:v>Rower długi + Zakładka T2</x:v>
      </x:c>
      <x:c r="F38" s="78" t="str">
        <x:v>120 min Z2 z kontrolą kadencji + 3 km T2 easy. Paliwo 60-80 g węgli/h.</x:v>
      </x:c>
      <x:c r="G38" s="78" t="str">
        <x:v>LONG</x:v>
      </x:c>
      <x:c r="H38" s="78" t="str">
        <x:v>Rower + adaptacja T2</x:v>
      </x:c>
      <x:c r="I38" s="78" t="str">
        <x:v>3 h przed: sprawdzony posiłek węglowodanowy; bez nowych produktów.</x:v>
      </x:c>
      <x:c r="J38" s="78" t="str">
        <x:v>Po treningu: ryż/ziemniaki + białko + sól/elektrolity.</x:v>
      </x:c>
      <x:c r="K38" s="78" t="str">
        <x:v>Kolacja regeneracyjna: węgle + białko + warzywa; uzupełnij płyny.</x:v>
      </x:c>
      <x:c r="L38" s="78"/>
      <x:c r="M38" s="78"/>
      <x:c r="N38" s="78"/>
      <x:c r="O38" s="78"/>
      <x:c r="P38" s="78"/>
      <x:c r="Q38" s="78" t="str">
        <x:v>Jeśli ból narasta lub RPE &gt;7 przed połową: skróć, nie nadrabiaj kilometrów.</x:v>
      </x:c>
      <x:c r="V38" s="227"/>
      <x:c r="W38" s="228"/>
      <x:c r="X38" s="226"/>
      <x:c r="Y38" s="229"/>
      <x:c r="Z38" s="227"/>
      <x:c r="AA38" s="226" t="str">
        <x:f>IF(AND(L38="",M38="",N38="",Z38=""),"",IF(OR(M38&gt;=5,N38&lt;6,L38&gt;=8),"CZERWONY",IF(OR(M38&gt;=3,N38&lt;6.5,L38&gt;=7,Z38&lt;=4),"ŻÓŁTY","OK")))</x:f>
      </x:c>
      <x:c r="AB38" s="226" t="str">
        <x:f>IF(AA38="","",IF(AA38="OK","Realizuj plan normalnie.",IF(AA38="ŻÓŁTY","Skróć 10-30% albo zamień akcent na easy.", "STOP mocne bodźce: wolne/basen/Tacx Z1 48-72 h.")))</x:f>
      </x:c>
    </x:row>
    <x:row r="39">
      <x:c r="A39" s="77" t="n">
        <x:v>46313</x:v>
      </x:c>
      <x:c r="B39" s="78" t="str">
        <x:v>Niedziela</x:v>
      </x:c>
      <x:c r="C39" s="78" t="str">
        <x:v>Tydzień 5 (Baza 1)</x:v>
      </x:c>
      <x:c r="D39" s="78" t="str">
        <x:v>Technika pływania + tlen + spokojne wejście w rower</x:v>
      </x:c>
      <x:c r="E39" s="78" t="str">
        <x:v>Bieg easy</x:v>
      </x:c>
      <x:c r="F39" s="78" t="str">
        <x:v>9-11 km easy 5:40-6:10/km. Tylko tlen.</x:v>
      </x:c>
      <x:c r="G39" s="78" t="str">
        <x:v>ŁATWY</x:v>
      </x:c>
      <x:c r="H39" s="78" t="str">
        <x:v>Baza biegowa</x:v>
      </x:c>
      <x:c r="I39" s="78" t="str">
        <x:v>Jajka lub jogurt/skyr + owoce; kawa spokojnie.</x:v>
      </x:c>
      <x:c r="J39" s="78" t="str">
        <x:v>Zupa/kasza/ryż + warzywa + białko; nawodnienie.</x:v>
      </x:c>
      <x:c r="K39" s="78" t="str">
        <x:v>Lekka kolacja: ryż/ziemniaki + ryba/tofu/jaja + warzywa.</x:v>
      </x:c>
      <x:c r="L39" s="78"/>
      <x:c r="M39" s="78"/>
      <x:c r="N39" s="78"/>
      <x:c r="O39" s="78"/>
      <x:c r="P39" s="78"/>
      <x:c r="Q39" s="78" t="str">
        <x:v>Jeśli nogi ciężkie: skróć o 20-30% i trzymaj Z1/Z2.</x:v>
      </x:c>
      <x:c r="V39" s="227"/>
      <x:c r="W39" s="228"/>
      <x:c r="X39" s="226"/>
      <x:c r="Y39" s="229"/>
      <x:c r="Z39" s="227"/>
      <x:c r="AA39" s="226" t="str">
        <x:f>IF(AND(L39="",M39="",N39="",Z39=""),"",IF(OR(M39&gt;=5,N39&lt;6,L39&gt;=8),"CZERWONY",IF(OR(M39&gt;=3,N39&lt;6.5,L39&gt;=7,Z39&lt;=4),"ŻÓŁTY","OK")))</x:f>
      </x:c>
      <x:c r="AB39" s="226" t="str">
        <x:f>IF(AA39="","",IF(AA39="OK","Realizuj plan normalnie.",IF(AA39="ŻÓŁTY","Skróć 10-30% albo zamień akcent na easy.", "STOP mocne bodźce: wolne/basen/Tacx Z1 48-72 h.")))</x:f>
      </x:c>
    </x:row>
    <x:row r="40">
      <x:c r="A40" s="77" t="n">
        <x:v>46314</x:v>
      </x:c>
      <x:c r="B40" s="78" t="str">
        <x:v>Poniedziałek</x:v>
      </x:c>
      <x:c r="C40" s="78" t="str">
        <x:v>Tydzień 6 (Baza 1)</x:v>
      </x:c>
      <x:c r="D40" s="78" t="str">
        <x:v>Technika pływania + tlen + spokojne wejście w rower</x:v>
      </x:c>
      <x:c r="E40" s="78" t="str">
        <x:v>BASEN technika</x:v>
      </x:c>
      <x:c r="F40" s="78" t="str">
        <x:v>1200-1800 m technika: pozycja, oddech, chwyt + 6-8x50 m spokojnie. Celem jest jakość ruchu, nie metry.</x:v>
      </x:c>
      <x:c r="G40" s="78" t="str">
        <x:v>ŁATWY</x:v>
      </x:c>
      <x:c r="H40" s="78" t="str">
        <x:v>Progresja pływania/CSS</x:v>
      </x:c>
      <x:c r="I40" s="78" t="str">
        <x:v>Jajka lub jogurt/skyr + owoce; kawa spokojnie.</x:v>
      </x:c>
      <x:c r="J40" s="78" t="str">
        <x:v>Zupa/kasza/ryż + warzywa + białko; nawodnienie.</x:v>
      </x:c>
      <x:c r="K40" s="78" t="str">
        <x:v>Lekka kolacja: ryż/ziemniaki + ryba/tofu/jaja + warzywa.</x:v>
      </x:c>
      <x:c r="L40" s="78"/>
      <x:c r="M40" s="78"/>
      <x:c r="N40" s="78"/>
      <x:c r="O40" s="78"/>
      <x:c r="P40" s="78"/>
      <x:c r="Q40" s="78" t="str">
        <x:v>Jeśli technika się sypie: skróć odcinki, wydłuż przerwy, nie dokładaj metrów.</x:v>
      </x:c>
      <x:c r="V40" s="227"/>
      <x:c r="W40" s="228"/>
      <x:c r="X40" s="226"/>
      <x:c r="Y40" s="229"/>
      <x:c r="Z40" s="227"/>
      <x:c r="AA40" s="226" t="str">
        <x:f>IF(AND(L40="",M40="",N40="",Z40=""),"",IF(OR(M40&gt;=5,N40&lt;6,L40&gt;=8),"CZERWONY",IF(OR(M40&gt;=3,N40&lt;6.5,L40&gt;=7,Z40&lt;=4),"ŻÓŁTY","OK")))</x:f>
      </x:c>
      <x:c r="AB40" s="226" t="str">
        <x:f>IF(AA40="","",IF(AA40="OK","Realizuj plan normalnie.",IF(AA40="ŻÓŁTY","Skróć 10-30% albo zamień akcent na easy.", "STOP mocne bodźce: wolne/basen/Tacx Z1 48-72 h.")))</x:f>
      </x:c>
    </x:row>
    <x:row r="41">
      <x:c r="A41" s="77" t="n">
        <x:v>46315</x:v>
      </x:c>
      <x:c r="B41" s="78" t="str">
        <x:v>Wtorek</x:v>
      </x:c>
      <x:c r="C41" s="78" t="str">
        <x:v>Tydzień 6 (Baza 1)</x:v>
      </x:c>
      <x:c r="D41" s="78" t="str">
        <x:v>Technika pływania + tlen + spokojne wejście w rower</x:v>
      </x:c>
      <x:c r="E41" s="78" t="str">
        <x:v>Bieg easy/steady</x:v>
      </x:c>
      <x:c r="F41" s="78" t="str">
        <x:v>8-12 km easy, w środku 6x1 min żywiej albo 20 min steady. Bez interwałów na siłę.</x:v>
      </x:c>
      <x:c r="G41" s="78" t="str">
        <x:v>ŁATWY</x:v>
      </x:c>
      <x:c r="H41" s="78" t="str">
        <x:v>Baza biegowa</x:v>
      </x:c>
      <x:c r="I41" s="78" t="str">
        <x:v>Jajka lub jogurt/skyr + owoce; kawa spokojnie.</x:v>
      </x:c>
      <x:c r="J41" s="78" t="str">
        <x:v>Zupa/kasza/ryż + warzywa + białko; nawodnienie.</x:v>
      </x:c>
      <x:c r="K41" s="78" t="str">
        <x:v>Lekka kolacja: ryż/ziemniaki + ryba/tofu/jaja + warzywa.</x:v>
      </x:c>
      <x:c r="L41" s="78"/>
      <x:c r="M41" s="78"/>
      <x:c r="N41" s="78"/>
      <x:c r="O41" s="78"/>
      <x:c r="P41" s="78"/>
      <x:c r="Q41" s="78" t="str">
        <x:v>Jeśli nogi ciężkie: skróć o 20-30% i trzymaj Z1/Z2.</x:v>
      </x:c>
      <x:c r="V41" s="227"/>
      <x:c r="W41" s="228"/>
      <x:c r="X41" s="226"/>
      <x:c r="Y41" s="229"/>
      <x:c r="Z41" s="227"/>
      <x:c r="AA41" s="226" t="str">
        <x:f>IF(AND(L41="",M41="",N41="",Z41=""),"",IF(OR(M41&gt;=5,N41&lt;6,L41&gt;=8),"CZERWONY",IF(OR(M41&gt;=3,N41&lt;6.5,L41&gt;=7,Z41&lt;=4),"ŻÓŁTY","OK")))</x:f>
      </x:c>
      <x:c r="AB41" s="226" t="str">
        <x:f>IF(AA41="","",IF(AA41="OK","Realizuj plan normalnie.",IF(AA41="ŻÓŁTY","Skróć 10-30% albo zamień akcent na easy.", "STOP mocne bodźce: wolne/basen/Tacx Z1 48-72 h.")))</x:f>
      </x:c>
    </x:row>
    <x:row r="42">
      <x:c r="A42" s="77" t="n">
        <x:v>46316</x:v>
      </x:c>
      <x:c r="B42" s="78" t="str">
        <x:v>Środa</x:v>
      </x:c>
      <x:c r="C42" s="78" t="str">
        <x:v>Tydzień 6 (Baza 1)</x:v>
      </x:c>
      <x:c r="D42" s="78" t="str">
        <x:v>Technika pływania + tlen + spokojne wejście w rower</x:v>
      </x:c>
      <x:c r="E42" s="78" t="str">
        <x:v>Tacx Z2</x:v>
      </x:c>
      <x:c r="F42" s="78" t="str">
        <x:v>60-80 min Z2 160-190 W, 3x6 min kadencja 95-100 rpm. Bez progu.</x:v>
      </x:c>
      <x:c r="G42" s="78" t="str">
        <x:v>ŁATWY</x:v>
      </x:c>
      <x:c r="H42" s="78" t="str">
        <x:v>Baza rowerowa</x:v>
      </x:c>
      <x:c r="I42" s="78" t="str">
        <x:v>Jajka lub jogurt/skyr + owoce; kawa spokojnie.</x:v>
      </x:c>
      <x:c r="J42" s="78" t="str">
        <x:v>Zupa/kasza/ryż + warzywa + białko; nawodnienie.</x:v>
      </x:c>
      <x:c r="K42" s="78" t="str">
        <x:v>Lekka kolacja: ryż/ziemniaki + ryba/tofu/jaja + warzywa.</x:v>
      </x:c>
      <x:c r="L42" s="78"/>
      <x:c r="M42" s="78"/>
      <x:c r="N42" s="78"/>
      <x:c r="O42" s="78"/>
      <x:c r="P42" s="78"/>
      <x:c r="Q42" s="78" t="str">
        <x:v>Jeśli nogi ciężkie: skróć o 20-30% i trzymaj Z1/Z2.</x:v>
      </x:c>
      <x:c r="V42" s="227"/>
      <x:c r="W42" s="228"/>
      <x:c r="X42" s="226"/>
      <x:c r="Y42" s="229"/>
      <x:c r="Z42" s="227"/>
      <x:c r="AA42" s="226" t="str">
        <x:f>IF(AND(L42="",M42="",N42="",Z42=""),"",IF(OR(M42&gt;=5,N42&lt;6,L42&gt;=8),"CZERWONY",IF(OR(M42&gt;=3,N42&lt;6.5,L42&gt;=7,Z42&lt;=4),"ŻÓŁTY","OK")))</x:f>
      </x:c>
      <x:c r="AB42" s="226" t="str">
        <x:f>IF(AA42="","",IF(AA42="OK","Realizuj plan normalnie.",IF(AA42="ŻÓŁTY","Skróć 10-30% albo zamień akcent na easy.", "STOP mocne bodźce: wolne/basen/Tacx Z1 48-72 h.")))</x:f>
      </x:c>
    </x:row>
    <x:row r="43">
      <x:c r="A43" s="77" t="n">
        <x:v>46317</x:v>
      </x:c>
      <x:c r="B43" s="78" t="str">
        <x:v>Czwartek</x:v>
      </x:c>
      <x:c r="C43" s="78" t="str">
        <x:v>Tydzień 6 (Baza 1)</x:v>
      </x:c>
      <x:c r="D43" s="78" t="str">
        <x:v>Technika pływania + tlen + spokojne wejście w rower</x:v>
      </x:c>
      <x:c r="E43" s="78" t="str">
        <x:v>Bieg easy + BASEN</x:v>
      </x:c>
      <x:c r="F43" s="78" t="str">
        <x:v>RANO: 6-10 km easy + mobility. WIECZÓR: 1200-1800 m technika: pozycja, oddech, chwyt + 6-8x50 m spokojnie. Celem jest jakość ruchu, nie metry.</x:v>
      </x:c>
      <x:c r="G43" s="78" t="str">
        <x:v>ŁATWY</x:v>
      </x:c>
      <x:c r="H43" s="78" t="str">
        <x:v>Progresja pływania/CSS</x:v>
      </x:c>
      <x:c r="I43" s="78" t="str">
        <x:v>Jajka lub jogurt/skyr + owoce; kawa spokojnie.</x:v>
      </x:c>
      <x:c r="J43" s="78" t="str">
        <x:v>Zupa/kasza/ryż + warzywa + białko; nawodnienie.</x:v>
      </x:c>
      <x:c r="K43" s="78" t="str">
        <x:v>Lekka kolacja: ryż/ziemniaki + ryba/tofu/jaja + warzywa.</x:v>
      </x:c>
      <x:c r="L43" s="78"/>
      <x:c r="M43" s="78"/>
      <x:c r="N43" s="78"/>
      <x:c r="O43" s="78"/>
      <x:c r="P43" s="78"/>
      <x:c r="Q43" s="78" t="str">
        <x:v>Jeśli technika się sypie: skróć odcinki, wydłuż przerwy, nie dokładaj metrów.</x:v>
      </x:c>
      <x:c r="V43" s="227"/>
      <x:c r="W43" s="228"/>
      <x:c r="X43" s="226"/>
      <x:c r="Y43" s="229"/>
      <x:c r="Z43" s="227"/>
      <x:c r="AA43" s="226" t="str">
        <x:f>IF(AND(L43="",M43="",N43="",Z43=""),"",IF(OR(M43&gt;=5,N43&lt;6,L43&gt;=8),"CZERWONY",IF(OR(M43&gt;=3,N43&lt;6.5,L43&gt;=7,Z43&lt;=4),"ŻÓŁTY","OK")))</x:f>
      </x:c>
      <x:c r="AB43" s="226" t="str">
        <x:f>IF(AA43="","",IF(AA43="OK","Realizuj plan normalnie.",IF(AA43="ŻÓŁTY","Skróć 10-30% albo zamień akcent na easy.", "STOP mocne bodźce: wolne/basen/Tacx Z1 48-72 h.")))</x:f>
      </x:c>
    </x:row>
    <x:row r="44">
      <x:c r="A44" s="71" t="n">
        <x:v>46318</x:v>
      </x:c>
      <x:c r="B44" s="72" t="str">
        <x:v>Piątek</x:v>
      </x:c>
      <x:c r="C44" s="72" t="str">
        <x:v>Tydzień 6 (Baza 1)</x:v>
      </x:c>
      <x:c r="D44" s="72" t="str">
        <x:v>Technika pływania + tlen + spokojne wejście w rower</x:v>
      </x:c>
      <x:c r="E44" s="72" t="str">
        <x:v>WOLNE</x:v>
      </x:c>
      <x:c r="F44" s="72" t="str">
        <x:v>Pełna regeneracja. Zero nadrabiania. Sprawdź sen, RPE i ból.</x:v>
      </x:c>
      <x:c r="G44" s="72" t="str">
        <x:v>WOLNE</x:v>
      </x:c>
      <x:c r="H44" s="72" t="str">
        <x:v>Adaptacja</x:v>
      </x:c>
      <x:c r="I44" s="72" t="str">
        <x:v>Normalne śniadanie, bez wymuszonego ładowania.</x:v>
      </x:c>
      <x:c r="J44" s="72" t="str">
        <x:v>Warzywa + białko + spokojna porcja węgli.</x:v>
      </x:c>
      <x:c r="K44" s="72" t="str">
        <x:v>Lekko, prosto, sen ważniejszy niż idealne makro.</x:v>
      </x:c>
      <x:c r="L44" s="72"/>
      <x:c r="M44" s="72"/>
      <x:c r="N44" s="72"/>
      <x:c r="O44" s="72"/>
      <x:c r="P44" s="72"/>
      <x:c r="Q44" s="72" t="str">
        <x:v>Nie nadrabiaj zaległości. Regeneracja jest częścią planu.</x:v>
      </x:c>
      <x:c r="V44" s="227"/>
      <x:c r="W44" s="228"/>
      <x:c r="X44" s="226"/>
      <x:c r="Y44" s="229"/>
      <x:c r="Z44" s="227"/>
      <x:c r="AA44" s="226" t="str">
        <x:f>IF(AND(L44="",M44="",N44="",Z44=""),"",IF(OR(M44&gt;=5,N44&lt;6,L44&gt;=8),"CZERWONY",IF(OR(M44&gt;=3,N44&lt;6.5,L44&gt;=7,Z44&lt;=4),"ŻÓŁTY","OK")))</x:f>
      </x:c>
      <x:c r="AB44" s="226" t="str">
        <x:f>IF(AA44="","",IF(AA44="OK","Realizuj plan normalnie.",IF(AA44="ŻÓŁTY","Skróć 10-30% albo zamień akcent na easy.", "STOP mocne bodźce: wolne/basen/Tacx Z1 48-72 h.")))</x:f>
      </x:c>
    </x:row>
    <x:row r="45">
      <x:c r="A45" s="77" t="n">
        <x:v>46319</x:v>
      </x:c>
      <x:c r="B45" s="78" t="str">
        <x:v>Sobota</x:v>
      </x:c>
      <x:c r="C45" s="78" t="str">
        <x:v>Tydzień 6 (Baza 1)</x:v>
      </x:c>
      <x:c r="D45" s="78" t="str">
        <x:v>Technika pływania + tlen + spokojne wejście w rower</x:v>
      </x:c>
      <x:c r="E45" s="78" t="str">
        <x:v>Rower długi + Zakładka T2</x:v>
      </x:c>
      <x:c r="F45" s="78" t="str">
        <x:v>150 min Z2 z kontrolą kadencji + 4 km T2 easy. Paliwo 60-80 g węgli/h.</x:v>
      </x:c>
      <x:c r="G45" s="78" t="str">
        <x:v>LONG</x:v>
      </x:c>
      <x:c r="H45" s="78" t="str">
        <x:v>Rower + adaptacja T2</x:v>
      </x:c>
      <x:c r="I45" s="78" t="str">
        <x:v>3 h przed: sprawdzony posiłek węglowodanowy; bez nowych produktów.</x:v>
      </x:c>
      <x:c r="J45" s="78" t="str">
        <x:v>Po treningu: ryż/ziemniaki + białko + sól/elektrolity.</x:v>
      </x:c>
      <x:c r="K45" s="78" t="str">
        <x:v>Kolacja regeneracyjna: węgle + białko + warzywa; uzupełnij płyny.</x:v>
      </x:c>
      <x:c r="L45" s="78"/>
      <x:c r="M45" s="78"/>
      <x:c r="N45" s="78"/>
      <x:c r="O45" s="78"/>
      <x:c r="P45" s="78"/>
      <x:c r="Q45" s="78" t="str">
        <x:v>Jeśli ból narasta lub RPE &gt;7 przed połową: skróć, nie nadrabiaj kilometrów.</x:v>
      </x:c>
      <x:c r="V45" s="227"/>
      <x:c r="W45" s="228"/>
      <x:c r="X45" s="226"/>
      <x:c r="Y45" s="229"/>
      <x:c r="Z45" s="227"/>
      <x:c r="AA45" s="226" t="str">
        <x:f>IF(AND(L45="",M45="",N45="",Z45=""),"",IF(OR(M45&gt;=5,N45&lt;6,L45&gt;=8),"CZERWONY",IF(OR(M45&gt;=3,N45&lt;6.5,L45&gt;=7,Z45&lt;=4),"ŻÓŁTY","OK")))</x:f>
      </x:c>
      <x:c r="AB45" s="226" t="str">
        <x:f>IF(AA45="","",IF(AA45="OK","Realizuj plan normalnie.",IF(AA45="ŻÓŁTY","Skróć 10-30% albo zamień akcent na easy.", "STOP mocne bodźce: wolne/basen/Tacx Z1 48-72 h.")))</x:f>
      </x:c>
    </x:row>
    <x:row r="46">
      <x:c r="A46" s="77" t="n">
        <x:v>46320</x:v>
      </x:c>
      <x:c r="B46" s="78" t="str">
        <x:v>Niedziela</x:v>
      </x:c>
      <x:c r="C46" s="78" t="str">
        <x:v>Tydzień 6 (Baza 1)</x:v>
      </x:c>
      <x:c r="D46" s="78" t="str">
        <x:v>Technika pływania + tlen + spokojne wejście w rower</x:v>
      </x:c>
      <x:c r="E46" s="78" t="str">
        <x:v>Bieg easy</x:v>
      </x:c>
      <x:c r="F46" s="78" t="str">
        <x:v>10-12 km easy 5:40-6:10/km. Tylko tlen.</x:v>
      </x:c>
      <x:c r="G46" s="78" t="str">
        <x:v>ŁATWY</x:v>
      </x:c>
      <x:c r="H46" s="78" t="str">
        <x:v>Baza biegowa</x:v>
      </x:c>
      <x:c r="I46" s="78" t="str">
        <x:v>Jajka lub jogurt/skyr + owoce; kawa spokojnie.</x:v>
      </x:c>
      <x:c r="J46" s="78" t="str">
        <x:v>Zupa/kasza/ryż + warzywa + białko; nawodnienie.</x:v>
      </x:c>
      <x:c r="K46" s="78" t="str">
        <x:v>Lekka kolacja: ryż/ziemniaki + ryba/tofu/jaja + warzywa.</x:v>
      </x:c>
      <x:c r="L46" s="78"/>
      <x:c r="M46" s="78"/>
      <x:c r="N46" s="78"/>
      <x:c r="O46" s="78"/>
      <x:c r="P46" s="78"/>
      <x:c r="Q46" s="78" t="str">
        <x:v>Jeśli nogi ciężkie: skróć o 20-30% i trzymaj Z1/Z2.</x:v>
      </x:c>
      <x:c r="V46" s="227"/>
      <x:c r="W46" s="228"/>
      <x:c r="X46" s="226"/>
      <x:c r="Y46" s="229"/>
      <x:c r="Z46" s="227"/>
      <x:c r="AA46" s="226" t="str">
        <x:f>IF(AND(L46="",M46="",N46="",Z46=""),"",IF(OR(M46&gt;=5,N46&lt;6,L46&gt;=8),"CZERWONY",IF(OR(M46&gt;=3,N46&lt;6.5,L46&gt;=7,Z46&lt;=4),"ŻÓŁTY","OK")))</x:f>
      </x:c>
      <x:c r="AB46" s="226" t="str">
        <x:f>IF(AA46="","",IF(AA46="OK","Realizuj plan normalnie.",IF(AA46="ŻÓŁTY","Skróć 10-30% albo zamień akcent na easy.", "STOP mocne bodźce: wolne/basen/Tacx Z1 48-72 h.")))</x:f>
      </x:c>
    </x:row>
    <x:row r="47">
      <x:c r="A47" s="77" t="n">
        <x:v>46321</x:v>
      </x:c>
      <x:c r="B47" s="78" t="str">
        <x:v>Poniedziałek</x:v>
      </x:c>
      <x:c r="C47" s="78" t="str">
        <x:v>Tydzień 7 (Baza 1)</x:v>
      </x:c>
      <x:c r="D47" s="78" t="str">
        <x:v>Technika pływania + tlen + spokojne wejście w rower</x:v>
      </x:c>
      <x:c r="E47" s="78" t="str">
        <x:v>BASEN technika</x:v>
      </x:c>
      <x:c r="F47" s="78" t="str">
        <x:v>1200-1800 m technika: pozycja, oddech, chwyt + 6-8x50 m spokojnie. Celem jest jakość ruchu, nie metry.</x:v>
      </x:c>
      <x:c r="G47" s="78" t="str">
        <x:v>ŁATWY</x:v>
      </x:c>
      <x:c r="H47" s="78" t="str">
        <x:v>Progresja pływania/CSS</x:v>
      </x:c>
      <x:c r="I47" s="78" t="str">
        <x:v>Jajka lub jogurt/skyr + owoce; kawa spokojnie.</x:v>
      </x:c>
      <x:c r="J47" s="78" t="str">
        <x:v>Zupa/kasza/ryż + warzywa + białko; nawodnienie.</x:v>
      </x:c>
      <x:c r="K47" s="78" t="str">
        <x:v>Lekka kolacja: ryż/ziemniaki + ryba/tofu/jaja + warzywa.</x:v>
      </x:c>
      <x:c r="L47" s="78"/>
      <x:c r="M47" s="78"/>
      <x:c r="N47" s="78"/>
      <x:c r="O47" s="78"/>
      <x:c r="P47" s="78"/>
      <x:c r="Q47" s="78" t="str">
        <x:v>Jeśli technika się sypie: skróć odcinki, wydłuż przerwy, nie dokładaj metrów.</x:v>
      </x:c>
      <x:c r="V47" s="227"/>
      <x:c r="W47" s="228"/>
      <x:c r="X47" s="226"/>
      <x:c r="Y47" s="229"/>
      <x:c r="Z47" s="227"/>
      <x:c r="AA47" s="226" t="str">
        <x:f>IF(AND(L47="",M47="",N47="",Z47=""),"",IF(OR(M47&gt;=5,N47&lt;6,L47&gt;=8),"CZERWONY",IF(OR(M47&gt;=3,N47&lt;6.5,L47&gt;=7,Z47&lt;=4),"ŻÓŁTY","OK")))</x:f>
      </x:c>
      <x:c r="AB47" s="226" t="str">
        <x:f>IF(AA47="","",IF(AA47="OK","Realizuj plan normalnie.",IF(AA47="ŻÓŁTY","Skróć 10-30% albo zamień akcent na easy.", "STOP mocne bodźce: wolne/basen/Tacx Z1 48-72 h.")))</x:f>
      </x:c>
    </x:row>
    <x:row r="48">
      <x:c r="A48" s="77" t="n">
        <x:v>46322</x:v>
      </x:c>
      <x:c r="B48" s="78" t="str">
        <x:v>Wtorek</x:v>
      </x:c>
      <x:c r="C48" s="78" t="str">
        <x:v>Tydzień 7 (Baza 1)</x:v>
      </x:c>
      <x:c r="D48" s="78" t="str">
        <x:v>Technika pływania + tlen + spokojne wejście w rower</x:v>
      </x:c>
      <x:c r="E48" s="78" t="str">
        <x:v>Bieg easy + rytmy</x:v>
      </x:c>
      <x:c r="F48" s="78" t="str">
        <x:v>6-8 km easy + 4x20 s rytmy tylko jeśli świeżo. Tydzień lżejszy.</x:v>
      </x:c>
      <x:c r="G48" s="78" t="str">
        <x:v>REGENERACJA</x:v>
      </x:c>
      <x:c r="H48" s="78" t="str">
        <x:v>Odświeżenie</x:v>
      </x:c>
      <x:c r="I48" s="78" t="str">
        <x:v>Normalne śniadanie, bez wymuszonego ładowania.</x:v>
      </x:c>
      <x:c r="J48" s="78" t="str">
        <x:v>Warzywa + białko + spokojna porcja węgli.</x:v>
      </x:c>
      <x:c r="K48" s="78" t="str">
        <x:v>Lekko, prosto, sen ważniejszy niż idealne makro.</x:v>
      </x:c>
      <x:c r="L48" s="78"/>
      <x:c r="M48" s="78"/>
      <x:c r="N48" s="78"/>
      <x:c r="O48" s="78"/>
      <x:c r="P48" s="78"/>
      <x:c r="Q48" s="78" t="str">
        <x:v>Nie nadrabiaj zaległości. Regeneracja jest częścią planu.</x:v>
      </x:c>
      <x:c r="V48" s="227"/>
      <x:c r="W48" s="228"/>
      <x:c r="X48" s="226"/>
      <x:c r="Y48" s="229"/>
      <x:c r="Z48" s="227"/>
      <x:c r="AA48" s="226" t="str">
        <x:f>IF(AND(L48="",M48="",N48="",Z48=""),"",IF(OR(M48&gt;=5,N48&lt;6,L48&gt;=8),"CZERWONY",IF(OR(M48&gt;=3,N48&lt;6.5,L48&gt;=7,Z48&lt;=4),"ŻÓŁTY","OK")))</x:f>
      </x:c>
      <x:c r="AB48" s="226" t="str">
        <x:f>IF(AA48="","",IF(AA48="OK","Realizuj plan normalnie.",IF(AA48="ŻÓŁTY","Skróć 10-30% albo zamień akcent na easy.", "STOP mocne bodźce: wolne/basen/Tacx Z1 48-72 h.")))</x:f>
      </x:c>
    </x:row>
    <x:row r="49">
      <x:c r="A49" s="77" t="n">
        <x:v>46323</x:v>
      </x:c>
      <x:c r="B49" s="78" t="str">
        <x:v>Środa</x:v>
      </x:c>
      <x:c r="C49" s="78" t="str">
        <x:v>Tydzień 7 (Baza 1)</x:v>
      </x:c>
      <x:c r="D49" s="78" t="str">
        <x:v>Technika pływania + tlen + spokojne wejście w rower</x:v>
      </x:c>
      <x:c r="E49" s="78" t="str">
        <x:v>Tacx regeneracyjny</x:v>
      </x:c>
      <x:c r="F49" s="78" t="str">
        <x:v>45-60 min Z1/Z2 135-165 W. STAŁY limit regeneracji: bez skalowania minut, bez sweet spot.</x:v>
      </x:c>
      <x:c r="G49" s="78" t="str">
        <x:v>REGENERACJA</x:v>
      </x:c>
      <x:c r="H49" s="78" t="str">
        <x:v>Odświeżenie</x:v>
      </x:c>
      <x:c r="I49" s="78" t="str">
        <x:v>Normalne śniadanie, bez wymuszonego ładowania.</x:v>
      </x:c>
      <x:c r="J49" s="78" t="str">
        <x:v>Warzywa + białko + spokojna porcja węgli.</x:v>
      </x:c>
      <x:c r="K49" s="78" t="str">
        <x:v>Lekko, prosto, sen ważniejszy niż idealne makro.</x:v>
      </x:c>
      <x:c r="L49" s="78"/>
      <x:c r="M49" s="78"/>
      <x:c r="N49" s="78"/>
      <x:c r="O49" s="78"/>
      <x:c r="P49" s="78"/>
      <x:c r="Q49" s="78" t="str">
        <x:v>Nie nadrabiaj zaległości. Regeneracja jest częścią planu.</x:v>
      </x:c>
      <x:c r="V49" s="227"/>
      <x:c r="W49" s="228"/>
      <x:c r="X49" s="226"/>
      <x:c r="Y49" s="229"/>
      <x:c r="Z49" s="227"/>
      <x:c r="AA49" s="226" t="str">
        <x:f>IF(AND(L49="",M49="",N49="",Z49=""),"",IF(OR(M49&gt;=5,N49&lt;6,L49&gt;=8),"CZERWONY",IF(OR(M49&gt;=3,N49&lt;6.5,L49&gt;=7,Z49&lt;=4),"ŻÓŁTY","OK")))</x:f>
      </x:c>
      <x:c r="AB49" s="226" t="str">
        <x:f>IF(AA49="","",IF(AA49="OK","Realizuj plan normalnie.",IF(AA49="ŻÓŁTY","Skróć 10-30% albo zamień akcent na easy.", "STOP mocne bodźce: wolne/basen/Tacx Z1 48-72 h.")))</x:f>
      </x:c>
    </x:row>
    <x:row r="50">
      <x:c r="A50" s="77" t="n">
        <x:v>46324</x:v>
      </x:c>
      <x:c r="B50" s="78" t="str">
        <x:v>Czwartek</x:v>
      </x:c>
      <x:c r="C50" s="78" t="str">
        <x:v>Tydzień 7 (Baza 1)</x:v>
      </x:c>
      <x:c r="D50" s="78" t="str">
        <x:v>Technika pływania + tlen + spokojne wejście w rower</x:v>
      </x:c>
      <x:c r="E50" s="78" t="str">
        <x:v>Bieg easy + BASEN</x:v>
      </x:c>
      <x:c r="F50" s="78" t="str">
        <x:v>RANO: 6-10 km easy + mobility. WIECZÓR: 1200-1800 m technika: pozycja, oddech, chwyt + 6-8x50 m spokojnie. Celem jest jakość ruchu, nie metry.</x:v>
      </x:c>
      <x:c r="G50" s="78" t="str">
        <x:v>ŁATWY</x:v>
      </x:c>
      <x:c r="H50" s="78" t="str">
        <x:v>Progresja pływania/CSS</x:v>
      </x:c>
      <x:c r="I50" s="78" t="str">
        <x:v>Jajka lub jogurt/skyr + owoce; kawa spokojnie.</x:v>
      </x:c>
      <x:c r="J50" s="78" t="str">
        <x:v>Zupa/kasza/ryż + warzywa + białko; nawodnienie.</x:v>
      </x:c>
      <x:c r="K50" s="78" t="str">
        <x:v>Lekka kolacja: ryż/ziemniaki + ryba/tofu/jaja + warzywa.</x:v>
      </x:c>
      <x:c r="L50" s="78"/>
      <x:c r="M50" s="78"/>
      <x:c r="N50" s="78"/>
      <x:c r="O50" s="78"/>
      <x:c r="P50" s="78"/>
      <x:c r="Q50" s="78" t="str">
        <x:v>Jeśli technika się sypie: skróć odcinki, wydłuż przerwy, nie dokładaj metrów.</x:v>
      </x:c>
      <x:c r="V50" s="227"/>
      <x:c r="W50" s="228"/>
      <x:c r="X50" s="226"/>
      <x:c r="Y50" s="229"/>
      <x:c r="Z50" s="227"/>
      <x:c r="AA50" s="226" t="str">
        <x:f>IF(AND(L50="",M50="",N50="",Z50=""),"",IF(OR(M50&gt;=5,N50&lt;6,L50&gt;=8),"CZERWONY",IF(OR(M50&gt;=3,N50&lt;6.5,L50&gt;=7,Z50&lt;=4),"ŻÓŁTY","OK")))</x:f>
      </x:c>
      <x:c r="AB50" s="226" t="str">
        <x:f>IF(AA50="","",IF(AA50="OK","Realizuj plan normalnie.",IF(AA50="ŻÓŁTY","Skróć 10-30% albo zamień akcent na easy.", "STOP mocne bodźce: wolne/basen/Tacx Z1 48-72 h.")))</x:f>
      </x:c>
    </x:row>
    <x:row r="51">
      <x:c r="A51" s="71" t="n">
        <x:v>46325</x:v>
      </x:c>
      <x:c r="B51" s="72" t="str">
        <x:v>Piątek</x:v>
      </x:c>
      <x:c r="C51" s="72" t="str">
        <x:v>Tydzień 7 (Baza 1)</x:v>
      </x:c>
      <x:c r="D51" s="72" t="str">
        <x:v>Technika pływania + tlen + spokojne wejście w rower</x:v>
      </x:c>
      <x:c r="E51" s="72" t="str">
        <x:v>WOLNE</x:v>
      </x:c>
      <x:c r="F51" s="72" t="str">
        <x:v>Pełna regeneracja. Zero nadrabiania. Sprawdź sen, RPE i ból.</x:v>
      </x:c>
      <x:c r="G51" s="72" t="str">
        <x:v>WOLNE</x:v>
      </x:c>
      <x:c r="H51" s="72" t="str">
        <x:v>Adaptacja</x:v>
      </x:c>
      <x:c r="I51" s="72" t="str">
        <x:v>Normalne śniadanie, bez wymuszonego ładowania.</x:v>
      </x:c>
      <x:c r="J51" s="72" t="str">
        <x:v>Warzywa + białko + spokojna porcja węgli.</x:v>
      </x:c>
      <x:c r="K51" s="72" t="str">
        <x:v>Lekko, prosto, sen ważniejszy niż idealne makro.</x:v>
      </x:c>
      <x:c r="L51" s="72"/>
      <x:c r="M51" s="72"/>
      <x:c r="N51" s="72"/>
      <x:c r="O51" s="72"/>
      <x:c r="P51" s="72"/>
      <x:c r="Q51" s="72" t="str">
        <x:v>Nie nadrabiaj zaległości. Regeneracja jest częścią planu.</x:v>
      </x:c>
      <x:c r="V51" s="227"/>
      <x:c r="W51" s="228"/>
      <x:c r="X51" s="226"/>
      <x:c r="Y51" s="229"/>
      <x:c r="Z51" s="227"/>
      <x:c r="AA51" s="226" t="str">
        <x:f>IF(AND(L51="",M51="",N51="",Z51=""),"",IF(OR(M51&gt;=5,N51&lt;6,L51&gt;=8),"CZERWONY",IF(OR(M51&gt;=3,N51&lt;6.5,L51&gt;=7,Z51&lt;=4),"ŻÓŁTY","OK")))</x:f>
      </x:c>
      <x:c r="AB51" s="226" t="str">
        <x:f>IF(AA51="","",IF(AA51="OK","Realizuj plan normalnie.",IF(AA51="ŻÓŁTY","Skróć 10-30% albo zamień akcent na easy.", "STOP mocne bodźce: wolne/basen/Tacx Z1 48-72 h.")))</x:f>
      </x:c>
    </x:row>
    <x:row r="52">
      <x:c r="A52" s="77" t="n">
        <x:v>46326</x:v>
      </x:c>
      <x:c r="B52" s="78" t="str">
        <x:v>Sobota</x:v>
      </x:c>
      <x:c r="C52" s="78" t="str">
        <x:v>Tydzień 7 (Baza 1)</x:v>
      </x:c>
      <x:c r="D52" s="78" t="str">
        <x:v>Technika pływania + tlen + spokojne wejście w rower</x:v>
      </x:c>
      <x:c r="E52" s="78" t="str">
        <x:v>Rower regeneracyjny</x:v>
      </x:c>
      <x:c r="F52" s="78" t="str">
        <x:v>45-60 min Z1/Z2. Bez T2. To jest prawdziwy tydzień regeneracyjny.</x:v>
      </x:c>
      <x:c r="G52" s="78" t="str">
        <x:v>REGENERACJA</x:v>
      </x:c>
      <x:c r="H52" s="78" t="str">
        <x:v>Zrzut zmęczenia</x:v>
      </x:c>
      <x:c r="I52" s="78" t="str">
        <x:v>Normalne śniadanie, bez wymuszonego ładowania.</x:v>
      </x:c>
      <x:c r="J52" s="78" t="str">
        <x:v>Warzywa + białko + spokojna porcja węgli.</x:v>
      </x:c>
      <x:c r="K52" s="78" t="str">
        <x:v>Lekko, prosto, sen ważniejszy niż idealne makro.</x:v>
      </x:c>
      <x:c r="L52" s="78"/>
      <x:c r="M52" s="78"/>
      <x:c r="N52" s="78"/>
      <x:c r="O52" s="78"/>
      <x:c r="P52" s="78"/>
      <x:c r="Q52" s="78" t="str">
        <x:v>Nie nadrabiaj zaległości. Regeneracja jest częścią planu.</x:v>
      </x:c>
      <x:c r="V52" s="227"/>
      <x:c r="W52" s="228"/>
      <x:c r="X52" s="226"/>
      <x:c r="Y52" s="229"/>
      <x:c r="Z52" s="227"/>
      <x:c r="AA52" s="226" t="str">
        <x:f>IF(AND(L52="",M52="",N52="",Z52=""),"",IF(OR(M52&gt;=5,N52&lt;6,L52&gt;=8),"CZERWONY",IF(OR(M52&gt;=3,N52&lt;6.5,L52&gt;=7,Z52&lt;=4),"ŻÓŁTY","OK")))</x:f>
      </x:c>
      <x:c r="AB52" s="226" t="str">
        <x:f>IF(AA52="","",IF(AA52="OK","Realizuj plan normalnie.",IF(AA52="ŻÓŁTY","Skróć 10-30% albo zamień akcent na easy.", "STOP mocne bodźce: wolne/basen/Tacx Z1 48-72 h.")))</x:f>
      </x:c>
    </x:row>
    <x:row r="53" ht="26" customHeight="1">
      <x:c r="A53" s="148" t="n">
        <x:v>46327</x:v>
      </x:c>
      <x:c r="B53" s="149" t="str">
        <x:v>Niedziela</x:v>
      </x:c>
      <x:c r="C53" s="149" t="str">
        <x:v>Tydzień 7 (Baza 1)</x:v>
      </x:c>
      <x:c r="D53" s="150" t="str">
        <x:v>Technika pływania + tlen + spokojne wejście w rower</x:v>
      </x:c>
      <x:c r="E53" s="150" t="str">
        <x:v>Bieg easy krótki</x:v>
      </x:c>
      <x:c r="F53" s="150" t="str">
        <x:v>6-10 km easy 5:45-6:15/km. Tydzień lżejszy, bez ambicji.</x:v>
      </x:c>
      <x:c r="G53" s="150" t="str">
        <x:v>REGENERACJA</x:v>
      </x:c>
      <x:c r="H53" s="150" t="str">
        <x:v>Odświeżenie</x:v>
      </x:c>
      <x:c r="I53" s="150" t="str">
        <x:v>Normalne śniadanie, bez wymuszonego ładowania.</x:v>
      </x:c>
      <x:c r="J53" s="150" t="str">
        <x:v>Warzywa + białko + spokojna porcja węgli.</x:v>
      </x:c>
      <x:c r="K53" s="150" t="str">
        <x:v>Lekko, prosto, sen ważniejszy niż idealne makro.</x:v>
      </x:c>
      <x:c r="L53" s="150"/>
      <x:c r="M53" s="150"/>
      <x:c r="N53" s="150"/>
      <x:c r="O53" s="150"/>
      <x:c r="P53" s="150"/>
      <x:c r="Q53" s="150" t="str">
        <x:v>Nie nadrabiaj zaległości. Regeneracja jest częścią planu.</x:v>
      </x:c>
      <x:c r="R53" s="136" t="str">
        <x:v>LISTOPAD 2026</x:v>
      </x:c>
      <x:c r="V53" s="227"/>
      <x:c r="W53" s="228"/>
      <x:c r="X53" s="226"/>
      <x:c r="Y53" s="229"/>
      <x:c r="Z53" s="227"/>
      <x:c r="AA53" s="226" t="str">
        <x:f>IF(AND(L53="",M53="",N53="",Z53=""),"",IF(OR(M53&gt;=5,N53&lt;6,L53&gt;=8),"CZERWONY",IF(OR(M53&gt;=3,N53&lt;6.5,L53&gt;=7,Z53&lt;=4),"ŻÓŁTY","OK")))</x:f>
      </x:c>
      <x:c r="AB53" s="226" t="str">
        <x:f>IF(AA53="","",IF(AA53="OK","Realizuj plan normalnie.",IF(AA53="ŻÓŁTY","Skróć 10-30% albo zamień akcent na easy.", "STOP mocne bodźce: wolne/basen/Tacx Z1 48-72 h.")))</x:f>
      </x:c>
    </x:row>
    <x:row r="54">
      <x:c r="A54" s="77" t="n">
        <x:v>46328</x:v>
      </x:c>
      <x:c r="B54" s="78" t="str">
        <x:v>Poniedziałek</x:v>
      </x:c>
      <x:c r="C54" s="78" t="str">
        <x:v>Tydzień 8 (Baza 1)</x:v>
      </x:c>
      <x:c r="D54" s="78" t="str">
        <x:v>Technika pływania + tlen + spokojne wejście w rower</x:v>
      </x:c>
      <x:c r="E54" s="78" t="str">
        <x:v>BASEN technika</x:v>
      </x:c>
      <x:c r="F54" s="78" t="str">
        <x:v>1200-1800 m technika: pozycja, oddech, chwyt + 6-8x50 m spokojnie. Celem jest jakość ruchu, nie metry.</x:v>
      </x:c>
      <x:c r="G54" s="78" t="str">
        <x:v>ŁATWY</x:v>
      </x:c>
      <x:c r="H54" s="78" t="str">
        <x:v>Progresja pływania/CSS</x:v>
      </x:c>
      <x:c r="I54" s="78" t="str">
        <x:v>Jajka lub jogurt/skyr + owoce; kawa spokojnie.</x:v>
      </x:c>
      <x:c r="J54" s="78" t="str">
        <x:v>Zupa/kasza/ryż + warzywa + białko; nawodnienie.</x:v>
      </x:c>
      <x:c r="K54" s="78" t="str">
        <x:v>Lekka kolacja: ryż/ziemniaki + ryba/tofu/jaja + warzywa.</x:v>
      </x:c>
      <x:c r="L54" s="78"/>
      <x:c r="M54" s="78"/>
      <x:c r="N54" s="78"/>
      <x:c r="O54" s="78"/>
      <x:c r="P54" s="78"/>
      <x:c r="Q54" s="78" t="str">
        <x:v>Jeśli technika się sypie: skróć odcinki, wydłuż przerwy, nie dokładaj metrów.</x:v>
      </x:c>
      <x:c r="V54" s="227"/>
      <x:c r="W54" s="228"/>
      <x:c r="X54" s="226"/>
      <x:c r="Y54" s="229"/>
      <x:c r="Z54" s="227"/>
      <x:c r="AA54" s="226" t="str">
        <x:f>IF(AND(L54="",M54="",N54="",Z54=""),"",IF(OR(M54&gt;=5,N54&lt;6,L54&gt;=8),"CZERWONY",IF(OR(M54&gt;=3,N54&lt;6.5,L54&gt;=7,Z54&lt;=4),"ŻÓŁTY","OK")))</x:f>
      </x:c>
      <x:c r="AB54" s="226" t="str">
        <x:f>IF(AA54="","",IF(AA54="OK","Realizuj plan normalnie.",IF(AA54="ŻÓŁTY","Skróć 10-30% albo zamień akcent na easy.", "STOP mocne bodźce: wolne/basen/Tacx Z1 48-72 h.")))</x:f>
      </x:c>
    </x:row>
    <x:row r="55">
      <x:c r="A55" s="77" t="n">
        <x:v>46329</x:v>
      </x:c>
      <x:c r="B55" s="78" t="str">
        <x:v>Wtorek</x:v>
      </x:c>
      <x:c r="C55" s="78" t="str">
        <x:v>Tydzień 8 (Baza 1)</x:v>
      </x:c>
      <x:c r="D55" s="78" t="str">
        <x:v>Technika pływania + tlen + spokojne wejście w rower</x:v>
      </x:c>
      <x:c r="E55" s="78" t="str">
        <x:v>Bieg easy/steady</x:v>
      </x:c>
      <x:c r="F55" s="78" t="str">
        <x:v>8-12 km easy, w środku 6x1 min żywiej albo 20 min steady. Bez interwałów na siłę.</x:v>
      </x:c>
      <x:c r="G55" s="78" t="str">
        <x:v>ŁATWY</x:v>
      </x:c>
      <x:c r="H55" s="78" t="str">
        <x:v>Baza biegowa</x:v>
      </x:c>
      <x:c r="I55" s="78" t="str">
        <x:v>Jajka lub jogurt/skyr + owoce; kawa spokojnie.</x:v>
      </x:c>
      <x:c r="J55" s="78" t="str">
        <x:v>Zupa/kasza/ryż + warzywa + białko; nawodnienie.</x:v>
      </x:c>
      <x:c r="K55" s="78" t="str">
        <x:v>Lekka kolacja: ryż/ziemniaki + ryba/tofu/jaja + warzywa.</x:v>
      </x:c>
      <x:c r="L55" s="78"/>
      <x:c r="M55" s="78"/>
      <x:c r="N55" s="78"/>
      <x:c r="O55" s="78"/>
      <x:c r="P55" s="78"/>
      <x:c r="Q55" s="78" t="str">
        <x:v>Jeśli nogi ciężkie: skróć o 20-30% i trzymaj Z1/Z2.</x:v>
      </x:c>
      <x:c r="V55" s="227"/>
      <x:c r="W55" s="228"/>
      <x:c r="X55" s="226"/>
      <x:c r="Y55" s="229"/>
      <x:c r="Z55" s="227"/>
      <x:c r="AA55" s="226" t="str">
        <x:f>IF(AND(L55="",M55="",N55="",Z55=""),"",IF(OR(M55&gt;=5,N55&lt;6,L55&gt;=8),"CZERWONY",IF(OR(M55&gt;=3,N55&lt;6.5,L55&gt;=7,Z55&lt;=4),"ŻÓŁTY","OK")))</x:f>
      </x:c>
      <x:c r="AB55" s="226" t="str">
        <x:f>IF(AA55="","",IF(AA55="OK","Realizuj plan normalnie.",IF(AA55="ŻÓŁTY","Skróć 10-30% albo zamień akcent na easy.", "STOP mocne bodźce: wolne/basen/Tacx Z1 48-72 h.")))</x:f>
      </x:c>
    </x:row>
    <x:row r="56">
      <x:c r="A56" s="77" t="n">
        <x:v>46330</x:v>
      </x:c>
      <x:c r="B56" s="78" t="str">
        <x:v>Środa</x:v>
      </x:c>
      <x:c r="C56" s="78" t="str">
        <x:v>Tydzień 8 (Baza 1)</x:v>
      </x:c>
      <x:c r="D56" s="78" t="str">
        <x:v>Technika pływania + tlen + spokojne wejście w rower</x:v>
      </x:c>
      <x:c r="E56" s="78" t="str">
        <x:v>Tacx Z2</x:v>
      </x:c>
      <x:c r="F56" s="78" t="str">
        <x:v>60-80 min Z2 160-190 W, 3x6 min kadencja 95-100 rpm. Bez progu.</x:v>
      </x:c>
      <x:c r="G56" s="78" t="str">
        <x:v>ŁATWY</x:v>
      </x:c>
      <x:c r="H56" s="78" t="str">
        <x:v>Baza rowerowa</x:v>
      </x:c>
      <x:c r="I56" s="78" t="str">
        <x:v>Jajka lub jogurt/skyr + owoce; kawa spokojnie.</x:v>
      </x:c>
      <x:c r="J56" s="78" t="str">
        <x:v>Zupa/kasza/ryż + warzywa + białko; nawodnienie.</x:v>
      </x:c>
      <x:c r="K56" s="78" t="str">
        <x:v>Lekka kolacja: ryż/ziemniaki + ryba/tofu/jaja + warzywa.</x:v>
      </x:c>
      <x:c r="L56" s="78"/>
      <x:c r="M56" s="78"/>
      <x:c r="N56" s="78"/>
      <x:c r="O56" s="78"/>
      <x:c r="P56" s="78"/>
      <x:c r="Q56" s="78" t="str">
        <x:v>Jeśli nogi ciężkie: skróć o 20-30% i trzymaj Z1/Z2.</x:v>
      </x:c>
      <x:c r="V56" s="227"/>
      <x:c r="W56" s="228"/>
      <x:c r="X56" s="226"/>
      <x:c r="Y56" s="229"/>
      <x:c r="Z56" s="227"/>
      <x:c r="AA56" s="226" t="str">
        <x:f>IF(AND(L56="",M56="",N56="",Z56=""),"",IF(OR(M56&gt;=5,N56&lt;6,L56&gt;=8),"CZERWONY",IF(OR(M56&gt;=3,N56&lt;6.5,L56&gt;=7,Z56&lt;=4),"ŻÓŁTY","OK")))</x:f>
      </x:c>
      <x:c r="AB56" s="226" t="str">
        <x:f>IF(AA56="","",IF(AA56="OK","Realizuj plan normalnie.",IF(AA56="ŻÓŁTY","Skróć 10-30% albo zamień akcent na easy.", "STOP mocne bodźce: wolne/basen/Tacx Z1 48-72 h.")))</x:f>
      </x:c>
    </x:row>
    <x:row r="57">
      <x:c r="A57" s="77" t="n">
        <x:v>46331</x:v>
      </x:c>
      <x:c r="B57" s="78" t="str">
        <x:v>Czwartek</x:v>
      </x:c>
      <x:c r="C57" s="78" t="str">
        <x:v>Tydzień 8 (Baza 1)</x:v>
      </x:c>
      <x:c r="D57" s="78" t="str">
        <x:v>Technika pływania + tlen + spokojne wejście w rower</x:v>
      </x:c>
      <x:c r="E57" s="78" t="str">
        <x:v>Bieg easy + BASEN</x:v>
      </x:c>
      <x:c r="F57" s="78" t="str">
        <x:v>RANO: 6-10 km easy + mobility. WIECZÓR: 1200-1800 m technika: pozycja, oddech, chwyt + 6-8x50 m spokojnie. Celem jest jakość ruchu, nie metry.</x:v>
      </x:c>
      <x:c r="G57" s="78" t="str">
        <x:v>ŁATWY</x:v>
      </x:c>
      <x:c r="H57" s="78" t="str">
        <x:v>Progresja pływania/CSS</x:v>
      </x:c>
      <x:c r="I57" s="78" t="str">
        <x:v>Jajka lub jogurt/skyr + owoce; kawa spokojnie.</x:v>
      </x:c>
      <x:c r="J57" s="78" t="str">
        <x:v>Zupa/kasza/ryż + warzywa + białko; nawodnienie.</x:v>
      </x:c>
      <x:c r="K57" s="78" t="str">
        <x:v>Lekka kolacja: ryż/ziemniaki + ryba/tofu/jaja + warzywa.</x:v>
      </x:c>
      <x:c r="L57" s="78"/>
      <x:c r="M57" s="78"/>
      <x:c r="N57" s="78"/>
      <x:c r="O57" s="78"/>
      <x:c r="P57" s="78"/>
      <x:c r="Q57" s="78" t="str">
        <x:v>Jeśli technika się sypie: skróć odcinki, wydłuż przerwy, nie dokładaj metrów.</x:v>
      </x:c>
      <x:c r="V57" s="227"/>
      <x:c r="W57" s="228"/>
      <x:c r="X57" s="226"/>
      <x:c r="Y57" s="229"/>
      <x:c r="Z57" s="227"/>
      <x:c r="AA57" s="226" t="str">
        <x:f>IF(AND(L57="",M57="",N57="",Z57=""),"",IF(OR(M57&gt;=5,N57&lt;6,L57&gt;=8),"CZERWONY",IF(OR(M57&gt;=3,N57&lt;6.5,L57&gt;=7,Z57&lt;=4),"ŻÓŁTY","OK")))</x:f>
      </x:c>
      <x:c r="AB57" s="226" t="str">
        <x:f>IF(AA57="","",IF(AA57="OK","Realizuj plan normalnie.",IF(AA57="ŻÓŁTY","Skróć 10-30% albo zamień akcent na easy.", "STOP mocne bodźce: wolne/basen/Tacx Z1 48-72 h.")))</x:f>
      </x:c>
    </x:row>
    <x:row r="58">
      <x:c r="A58" s="71" t="n">
        <x:v>46332</x:v>
      </x:c>
      <x:c r="B58" s="72" t="str">
        <x:v>Piątek</x:v>
      </x:c>
      <x:c r="C58" s="72" t="str">
        <x:v>Tydzień 8 (Baza 1)</x:v>
      </x:c>
      <x:c r="D58" s="72" t="str">
        <x:v>Technika pływania + tlen + spokojne wejście w rower</x:v>
      </x:c>
      <x:c r="E58" s="72" t="str">
        <x:v>WOLNE</x:v>
      </x:c>
      <x:c r="F58" s="72" t="str">
        <x:v>Pełna regeneracja. Zero nadrabiania. Sprawdź sen, RPE i ból.</x:v>
      </x:c>
      <x:c r="G58" s="72" t="str">
        <x:v>WOLNE</x:v>
      </x:c>
      <x:c r="H58" s="72" t="str">
        <x:v>Adaptacja</x:v>
      </x:c>
      <x:c r="I58" s="72" t="str">
        <x:v>Normalne śniadanie, bez wymuszonego ładowania.</x:v>
      </x:c>
      <x:c r="J58" s="72" t="str">
        <x:v>Warzywa + białko + spokojna porcja węgli.</x:v>
      </x:c>
      <x:c r="K58" s="72" t="str">
        <x:v>Lekko, prosto, sen ważniejszy niż idealne makro.</x:v>
      </x:c>
      <x:c r="L58" s="72"/>
      <x:c r="M58" s="72"/>
      <x:c r="N58" s="72"/>
      <x:c r="O58" s="72"/>
      <x:c r="P58" s="72"/>
      <x:c r="Q58" s="72" t="str">
        <x:v>Nie nadrabiaj zaległości. Regeneracja jest częścią planu.</x:v>
      </x:c>
      <x:c r="V58" s="227"/>
      <x:c r="W58" s="228"/>
      <x:c r="X58" s="226"/>
      <x:c r="Y58" s="229"/>
      <x:c r="Z58" s="227"/>
      <x:c r="AA58" s="226" t="str">
        <x:f>IF(AND(L58="",M58="",N58="",Z58=""),"",IF(OR(M58&gt;=5,N58&lt;6,L58&gt;=8),"CZERWONY",IF(OR(M58&gt;=3,N58&lt;6.5,L58&gt;=7,Z58&lt;=4),"ŻÓŁTY","OK")))</x:f>
      </x:c>
      <x:c r="AB58" s="226" t="str">
        <x:f>IF(AA58="","",IF(AA58="OK","Realizuj plan normalnie.",IF(AA58="ŻÓŁTY","Skróć 10-30% albo zamień akcent na easy.", "STOP mocne bodźce: wolne/basen/Tacx Z1 48-72 h.")))</x:f>
      </x:c>
    </x:row>
    <x:row r="59">
      <x:c r="A59" s="77" t="n">
        <x:v>46333</x:v>
      </x:c>
      <x:c r="B59" s="78" t="str">
        <x:v>Sobota</x:v>
      </x:c>
      <x:c r="C59" s="78" t="str">
        <x:v>Tydzień 8 (Baza 1)</x:v>
      </x:c>
      <x:c r="D59" s="78" t="str">
        <x:v>Technika pływania + tlen + spokojne wejście w rower</x:v>
      </x:c>
      <x:c r="E59" s="78" t="str">
        <x:v>Rower długi + Zakładka T2</x:v>
      </x:c>
      <x:c r="F59" s="78" t="str">
        <x:v>130 min Z2 z kontrolą kadencji + 4 km T2 easy. Paliwo 60-80 g węgli/h.</x:v>
      </x:c>
      <x:c r="G59" s="78" t="str">
        <x:v>LONG</x:v>
      </x:c>
      <x:c r="H59" s="78" t="str">
        <x:v>Rower + adaptacja T2</x:v>
      </x:c>
      <x:c r="I59" s="78" t="str">
        <x:v>3 h przed: sprawdzony posiłek węglowodanowy; bez nowych produktów.</x:v>
      </x:c>
      <x:c r="J59" s="78" t="str">
        <x:v>Po treningu: ryż/ziemniaki + białko + sól/elektrolity.</x:v>
      </x:c>
      <x:c r="K59" s="78" t="str">
        <x:v>Kolacja regeneracyjna: węgle + białko + warzywa; uzupełnij płyny.</x:v>
      </x:c>
      <x:c r="L59" s="78"/>
      <x:c r="M59" s="78"/>
      <x:c r="N59" s="78"/>
      <x:c r="O59" s="78"/>
      <x:c r="P59" s="78"/>
      <x:c r="Q59" s="78" t="str">
        <x:v>Jeśli ból narasta lub RPE &gt;7 przed połową: skróć, nie nadrabiaj kilometrów.</x:v>
      </x:c>
      <x:c r="V59" s="227"/>
      <x:c r="W59" s="228"/>
      <x:c r="X59" s="226"/>
      <x:c r="Y59" s="229"/>
      <x:c r="Z59" s="227"/>
      <x:c r="AA59" s="226" t="str">
        <x:f>IF(AND(L59="",M59="",N59="",Z59=""),"",IF(OR(M59&gt;=5,N59&lt;6,L59&gt;=8),"CZERWONY",IF(OR(M59&gt;=3,N59&lt;6.5,L59&gt;=7,Z59&lt;=4),"ŻÓŁTY","OK")))</x:f>
      </x:c>
      <x:c r="AB59" s="226" t="str">
        <x:f>IF(AA59="","",IF(AA59="OK","Realizuj plan normalnie.",IF(AA59="ŻÓŁTY","Skróć 10-30% albo zamień akcent na easy.", "STOP mocne bodźce: wolne/basen/Tacx Z1 48-72 h.")))</x:f>
      </x:c>
    </x:row>
    <x:row r="60">
      <x:c r="A60" s="77" t="n">
        <x:v>46334</x:v>
      </x:c>
      <x:c r="B60" s="78" t="str">
        <x:v>Niedziela</x:v>
      </x:c>
      <x:c r="C60" s="78" t="str">
        <x:v>Tydzień 8 (Baza 1)</x:v>
      </x:c>
      <x:c r="D60" s="78" t="str">
        <x:v>Technika pływania + tlen + spokojne wejście w rower</x:v>
      </x:c>
      <x:c r="E60" s="78" t="str">
        <x:v>Bieg easy</x:v>
      </x:c>
      <x:c r="F60" s="78" t="str">
        <x:v>12-14 km easy 5:40-6:10/km. Tylko tlen.</x:v>
      </x:c>
      <x:c r="G60" s="78" t="str">
        <x:v>ŁATWY</x:v>
      </x:c>
      <x:c r="H60" s="78" t="str">
        <x:v>Baza biegowa</x:v>
      </x:c>
      <x:c r="I60" s="78" t="str">
        <x:v>Jajka lub jogurt/skyr + owoce; kawa spokojnie.</x:v>
      </x:c>
      <x:c r="J60" s="78" t="str">
        <x:v>Zupa/kasza/ryż + warzywa + białko; nawodnienie.</x:v>
      </x:c>
      <x:c r="K60" s="78" t="str">
        <x:v>Lekka kolacja: ryż/ziemniaki + ryba/tofu/jaja + warzywa.</x:v>
      </x:c>
      <x:c r="L60" s="78"/>
      <x:c r="M60" s="78"/>
      <x:c r="N60" s="78"/>
      <x:c r="O60" s="78"/>
      <x:c r="P60" s="78"/>
      <x:c r="Q60" s="78" t="str">
        <x:v>Jeśli nogi ciężkie: skróć o 20-30% i trzymaj Z1/Z2.</x:v>
      </x:c>
      <x:c r="V60" s="227"/>
      <x:c r="W60" s="228"/>
      <x:c r="X60" s="226"/>
      <x:c r="Y60" s="229"/>
      <x:c r="Z60" s="227"/>
      <x:c r="AA60" s="226" t="str">
        <x:f>IF(AND(L60="",M60="",N60="",Z60=""),"",IF(OR(M60&gt;=5,N60&lt;6,L60&gt;=8),"CZERWONY",IF(OR(M60&gt;=3,N60&lt;6.5,L60&gt;=7,Z60&lt;=4),"ŻÓŁTY","OK")))</x:f>
      </x:c>
      <x:c r="AB60" s="226" t="str">
        <x:f>IF(AA60="","",IF(AA60="OK","Realizuj plan normalnie.",IF(AA60="ŻÓŁTY","Skróć 10-30% albo zamień akcent na easy.", "STOP mocne bodźce: wolne/basen/Tacx Z1 48-72 h.")))</x:f>
      </x:c>
    </x:row>
    <x:row r="61">
      <x:c r="A61" s="77" t="n">
        <x:v>46335</x:v>
      </x:c>
      <x:c r="B61" s="78" t="str">
        <x:v>Poniedziałek</x:v>
      </x:c>
      <x:c r="C61" s="78" t="str">
        <x:v>Tydzień 9 (Baza 1)</x:v>
      </x:c>
      <x:c r="D61" s="78" t="str">
        <x:v>Technika pływania + tlen + spokojne wejście w rower</x:v>
      </x:c>
      <x:c r="E61" s="78" t="str">
        <x:v>BASEN technika</x:v>
      </x:c>
      <x:c r="F61" s="78" t="str">
        <x:v>1200-1800 m technika: pozycja, oddech, chwyt + 6-8x50 m spokojnie. Celem jest jakość ruchu, nie metry.</x:v>
      </x:c>
      <x:c r="G61" s="78" t="str">
        <x:v>ŁATWY</x:v>
      </x:c>
      <x:c r="H61" s="78" t="str">
        <x:v>Progresja pływania/CSS</x:v>
      </x:c>
      <x:c r="I61" s="78" t="str">
        <x:v>Jajka lub jogurt/skyr + owoce; kawa spokojnie.</x:v>
      </x:c>
      <x:c r="J61" s="78" t="str">
        <x:v>Zupa/kasza/ryż + warzywa + białko; nawodnienie.</x:v>
      </x:c>
      <x:c r="K61" s="78" t="str">
        <x:v>Lekka kolacja: ryż/ziemniaki + ryba/tofu/jaja + warzywa.</x:v>
      </x:c>
      <x:c r="L61" s="78"/>
      <x:c r="M61" s="78"/>
      <x:c r="N61" s="78"/>
      <x:c r="O61" s="78"/>
      <x:c r="P61" s="78"/>
      <x:c r="Q61" s="78" t="str">
        <x:v>Jeśli technika się sypie: skróć odcinki, wydłuż przerwy, nie dokładaj metrów.</x:v>
      </x:c>
      <x:c r="V61" s="227"/>
      <x:c r="W61" s="228"/>
      <x:c r="X61" s="226"/>
      <x:c r="Y61" s="229"/>
      <x:c r="Z61" s="227"/>
      <x:c r="AA61" s="226" t="str">
        <x:f>IF(AND(L61="",M61="",N61="",Z61=""),"",IF(OR(M61&gt;=5,N61&lt;6,L61&gt;=8),"CZERWONY",IF(OR(M61&gt;=3,N61&lt;6.5,L61&gt;=7,Z61&lt;=4),"ŻÓŁTY","OK")))</x:f>
      </x:c>
      <x:c r="AB61" s="226" t="str">
        <x:f>IF(AA61="","",IF(AA61="OK","Realizuj plan normalnie.",IF(AA61="ŻÓŁTY","Skróć 10-30% albo zamień akcent na easy.", "STOP mocne bodźce: wolne/basen/Tacx Z1 48-72 h.")))</x:f>
      </x:c>
    </x:row>
    <x:row r="62">
      <x:c r="A62" s="77" t="n">
        <x:v>46336</x:v>
      </x:c>
      <x:c r="B62" s="78" t="str">
        <x:v>Wtorek</x:v>
      </x:c>
      <x:c r="C62" s="78" t="str">
        <x:v>Tydzień 9 (Baza 1)</x:v>
      </x:c>
      <x:c r="D62" s="78" t="str">
        <x:v>Technika pływania + tlen + spokojne wejście w rower</x:v>
      </x:c>
      <x:c r="E62" s="78" t="str">
        <x:v>Bieg easy/steady</x:v>
      </x:c>
      <x:c r="F62" s="78" t="str">
        <x:v>8-12 km easy, w środku 6x1 min żywiej albo 20 min steady. Bez interwałów na siłę.</x:v>
      </x:c>
      <x:c r="G62" s="78" t="str">
        <x:v>ŁATWY</x:v>
      </x:c>
      <x:c r="H62" s="78" t="str">
        <x:v>Baza biegowa</x:v>
      </x:c>
      <x:c r="I62" s="78" t="str">
        <x:v>Jajka lub jogurt/skyr + owoce; kawa spokojnie.</x:v>
      </x:c>
      <x:c r="J62" s="78" t="str">
        <x:v>Zupa/kasza/ryż + warzywa + białko; nawodnienie.</x:v>
      </x:c>
      <x:c r="K62" s="78" t="str">
        <x:v>Lekka kolacja: ryż/ziemniaki + ryba/tofu/jaja + warzywa.</x:v>
      </x:c>
      <x:c r="L62" s="78"/>
      <x:c r="M62" s="78"/>
      <x:c r="N62" s="78"/>
      <x:c r="O62" s="78"/>
      <x:c r="P62" s="78"/>
      <x:c r="Q62" s="78" t="str">
        <x:v>Jeśli nogi ciężkie: skróć o 20-30% i trzymaj Z1/Z2.</x:v>
      </x:c>
      <x:c r="V62" s="227"/>
      <x:c r="W62" s="228"/>
      <x:c r="X62" s="226"/>
      <x:c r="Y62" s="229"/>
      <x:c r="Z62" s="227"/>
      <x:c r="AA62" s="226" t="str">
        <x:f>IF(AND(L62="",M62="",N62="",Z62=""),"",IF(OR(M62&gt;=5,N62&lt;6,L62&gt;=8),"CZERWONY",IF(OR(M62&gt;=3,N62&lt;6.5,L62&gt;=7,Z62&lt;=4),"ŻÓŁTY","OK")))</x:f>
      </x:c>
      <x:c r="AB62" s="226" t="str">
        <x:f>IF(AA62="","",IF(AA62="OK","Realizuj plan normalnie.",IF(AA62="ŻÓŁTY","Skróć 10-30% albo zamień akcent na easy.", "STOP mocne bodźce: wolne/basen/Tacx Z1 48-72 h.")))</x:f>
      </x:c>
    </x:row>
    <x:row r="63">
      <x:c r="A63" s="77" t="n">
        <x:v>46337</x:v>
      </x:c>
      <x:c r="B63" s="78" t="str">
        <x:v>Środa</x:v>
      </x:c>
      <x:c r="C63" s="78" t="str">
        <x:v>Tydzień 9 (Baza 1)</x:v>
      </x:c>
      <x:c r="D63" s="78" t="str">
        <x:v>Technika pływania + tlen + spokojne wejście w rower</x:v>
      </x:c>
      <x:c r="E63" s="78" t="str">
        <x:v>Tacx Z2</x:v>
      </x:c>
      <x:c r="F63" s="78" t="str">
        <x:v>60-80 min Z2 160-190 W, 3x6 min kadencja 95-100 rpm. Bez progu.</x:v>
      </x:c>
      <x:c r="G63" s="78" t="str">
        <x:v>ŁATWY</x:v>
      </x:c>
      <x:c r="H63" s="78" t="str">
        <x:v>Baza rowerowa</x:v>
      </x:c>
      <x:c r="I63" s="78" t="str">
        <x:v>Jajka lub jogurt/skyr + owoce; kawa spokojnie.</x:v>
      </x:c>
      <x:c r="J63" s="78" t="str">
        <x:v>Zupa/kasza/ryż + warzywa + białko; nawodnienie.</x:v>
      </x:c>
      <x:c r="K63" s="78" t="str">
        <x:v>Lekka kolacja: ryż/ziemniaki + ryba/tofu/jaja + warzywa.</x:v>
      </x:c>
      <x:c r="L63" s="78"/>
      <x:c r="M63" s="78"/>
      <x:c r="N63" s="78"/>
      <x:c r="O63" s="78"/>
      <x:c r="P63" s="78"/>
      <x:c r="Q63" s="78" t="str">
        <x:v>Jeśli nogi ciężkie: skróć o 20-30% i trzymaj Z1/Z2.</x:v>
      </x:c>
      <x:c r="V63" s="227"/>
      <x:c r="W63" s="228"/>
      <x:c r="X63" s="226"/>
      <x:c r="Y63" s="229"/>
      <x:c r="Z63" s="227"/>
      <x:c r="AA63" s="226" t="str">
        <x:f>IF(AND(L63="",M63="",N63="",Z63=""),"",IF(OR(M63&gt;=5,N63&lt;6,L63&gt;=8),"CZERWONY",IF(OR(M63&gt;=3,N63&lt;6.5,L63&gt;=7,Z63&lt;=4),"ŻÓŁTY","OK")))</x:f>
      </x:c>
      <x:c r="AB63" s="226" t="str">
        <x:f>IF(AA63="","",IF(AA63="OK","Realizuj plan normalnie.",IF(AA63="ŻÓŁTY","Skróć 10-30% albo zamień akcent na easy.", "STOP mocne bodźce: wolne/basen/Tacx Z1 48-72 h.")))</x:f>
      </x:c>
    </x:row>
    <x:row r="64">
      <x:c r="A64" s="77" t="n">
        <x:v>46338</x:v>
      </x:c>
      <x:c r="B64" s="78" t="str">
        <x:v>Czwartek</x:v>
      </x:c>
      <x:c r="C64" s="78" t="str">
        <x:v>Tydzień 9 (Baza 1)</x:v>
      </x:c>
      <x:c r="D64" s="78" t="str">
        <x:v>Technika pływania + tlen + spokojne wejście w rower</x:v>
      </x:c>
      <x:c r="E64" s="78" t="str">
        <x:v>Bieg easy + BASEN</x:v>
      </x:c>
      <x:c r="F64" s="78" t="str">
        <x:v>RANO: 6-10 km easy + mobility. WIECZÓR: 1200-1800 m technika: pozycja, oddech, chwyt + 6-8x50 m spokojnie. Celem jest jakość ruchu, nie metry.</x:v>
      </x:c>
      <x:c r="G64" s="78" t="str">
        <x:v>ŁATWY</x:v>
      </x:c>
      <x:c r="H64" s="78" t="str">
        <x:v>Progresja pływania/CSS</x:v>
      </x:c>
      <x:c r="I64" s="78" t="str">
        <x:v>Jajka lub jogurt/skyr + owoce; kawa spokojnie.</x:v>
      </x:c>
      <x:c r="J64" s="78" t="str">
        <x:v>Zupa/kasza/ryż + warzywa + białko; nawodnienie.</x:v>
      </x:c>
      <x:c r="K64" s="78" t="str">
        <x:v>Lekka kolacja: ryż/ziemniaki + ryba/tofu/jaja + warzywa.</x:v>
      </x:c>
      <x:c r="L64" s="78"/>
      <x:c r="M64" s="78"/>
      <x:c r="N64" s="78"/>
      <x:c r="O64" s="78"/>
      <x:c r="P64" s="78"/>
      <x:c r="Q64" s="78" t="str">
        <x:v>Jeśli technika się sypie: skróć odcinki, wydłuż przerwy, nie dokładaj metrów.</x:v>
      </x:c>
      <x:c r="V64" s="227"/>
      <x:c r="W64" s="228"/>
      <x:c r="X64" s="226"/>
      <x:c r="Y64" s="229"/>
      <x:c r="Z64" s="227"/>
      <x:c r="AA64" s="226" t="str">
        <x:f>IF(AND(L64="",M64="",N64="",Z64=""),"",IF(OR(M64&gt;=5,N64&lt;6,L64&gt;=8),"CZERWONY",IF(OR(M64&gt;=3,N64&lt;6.5,L64&gt;=7,Z64&lt;=4),"ŻÓŁTY","OK")))</x:f>
      </x:c>
      <x:c r="AB64" s="226" t="str">
        <x:f>IF(AA64="","",IF(AA64="OK","Realizuj plan normalnie.",IF(AA64="ŻÓŁTY","Skróć 10-30% albo zamień akcent na easy.", "STOP mocne bodźce: wolne/basen/Tacx Z1 48-72 h.")))</x:f>
      </x:c>
    </x:row>
    <x:row r="65">
      <x:c r="A65" s="71" t="n">
        <x:v>46339</x:v>
      </x:c>
      <x:c r="B65" s="72" t="str">
        <x:v>Piątek</x:v>
      </x:c>
      <x:c r="C65" s="72" t="str">
        <x:v>Tydzień 9 (Baza 1)</x:v>
      </x:c>
      <x:c r="D65" s="72" t="str">
        <x:v>Technika pływania + tlen + spokojne wejście w rower</x:v>
      </x:c>
      <x:c r="E65" s="72" t="str">
        <x:v>WOLNE</x:v>
      </x:c>
      <x:c r="F65" s="72" t="str">
        <x:v>Pełna regeneracja. Zero nadrabiania. Sprawdź sen, RPE i ból.</x:v>
      </x:c>
      <x:c r="G65" s="72" t="str">
        <x:v>WOLNE</x:v>
      </x:c>
      <x:c r="H65" s="72" t="str">
        <x:v>Adaptacja</x:v>
      </x:c>
      <x:c r="I65" s="72" t="str">
        <x:v>Normalne śniadanie, bez wymuszonego ładowania.</x:v>
      </x:c>
      <x:c r="J65" s="72" t="str">
        <x:v>Warzywa + białko + spokojna porcja węgli.</x:v>
      </x:c>
      <x:c r="K65" s="72" t="str">
        <x:v>Lekko, prosto, sen ważniejszy niż idealne makro.</x:v>
      </x:c>
      <x:c r="L65" s="72"/>
      <x:c r="M65" s="72"/>
      <x:c r="N65" s="72"/>
      <x:c r="O65" s="72"/>
      <x:c r="P65" s="72"/>
      <x:c r="Q65" s="72" t="str">
        <x:v>Nie nadrabiaj zaległości. Regeneracja jest częścią planu.</x:v>
      </x:c>
      <x:c r="V65" s="227"/>
      <x:c r="W65" s="228"/>
      <x:c r="X65" s="226"/>
      <x:c r="Y65" s="229"/>
      <x:c r="Z65" s="227"/>
      <x:c r="AA65" s="226" t="str">
        <x:f>IF(AND(L65="",M65="",N65="",Z65=""),"",IF(OR(M65&gt;=5,N65&lt;6,L65&gt;=8),"CZERWONY",IF(OR(M65&gt;=3,N65&lt;6.5,L65&gt;=7,Z65&lt;=4),"ŻÓŁTY","OK")))</x:f>
      </x:c>
      <x:c r="AB65" s="226" t="str">
        <x:f>IF(AA65="","",IF(AA65="OK","Realizuj plan normalnie.",IF(AA65="ŻÓŁTY","Skróć 10-30% albo zamień akcent na easy.", "STOP mocne bodźce: wolne/basen/Tacx Z1 48-72 h.")))</x:f>
      </x:c>
    </x:row>
    <x:row r="66">
      <x:c r="A66" s="77" t="n">
        <x:v>46340</x:v>
      </x:c>
      <x:c r="B66" s="78" t="str">
        <x:v>Sobota</x:v>
      </x:c>
      <x:c r="C66" s="78" t="str">
        <x:v>Tydzień 9 (Baza 1)</x:v>
      </x:c>
      <x:c r="D66" s="78" t="str">
        <x:v>Technika pływania + tlen + spokojne wejście w rower</x:v>
      </x:c>
      <x:c r="E66" s="78" t="str">
        <x:v>Rower długi + Zakładka T2</x:v>
      </x:c>
      <x:c r="F66" s="78" t="str">
        <x:v>150 min Z2 z kontrolą kadencji + 5 km T2 easy. Paliwo 60-80 g węgli/h.</x:v>
      </x:c>
      <x:c r="G66" s="78" t="str">
        <x:v>LONG</x:v>
      </x:c>
      <x:c r="H66" s="78" t="str">
        <x:v>Rower + adaptacja T2</x:v>
      </x:c>
      <x:c r="I66" s="78" t="str">
        <x:v>3 h przed: sprawdzony posiłek węglowodanowy; bez nowych produktów.</x:v>
      </x:c>
      <x:c r="J66" s="78" t="str">
        <x:v>Po treningu: ryż/ziemniaki + białko + sól/elektrolity.</x:v>
      </x:c>
      <x:c r="K66" s="78" t="str">
        <x:v>Kolacja regeneracyjna: węgle + białko + warzywa; uzupełnij płyny.</x:v>
      </x:c>
      <x:c r="L66" s="78"/>
      <x:c r="M66" s="78"/>
      <x:c r="N66" s="78"/>
      <x:c r="O66" s="78"/>
      <x:c r="P66" s="78"/>
      <x:c r="Q66" s="78" t="str">
        <x:v>Jeśli ból narasta lub RPE &gt;7 przed połową: skróć, nie nadrabiaj kilometrów.</x:v>
      </x:c>
      <x:c r="V66" s="227"/>
      <x:c r="W66" s="228"/>
      <x:c r="X66" s="226"/>
      <x:c r="Y66" s="229"/>
      <x:c r="Z66" s="227"/>
      <x:c r="AA66" s="226" t="str">
        <x:f>IF(AND(L66="",M66="",N66="",Z66=""),"",IF(OR(M66&gt;=5,N66&lt;6,L66&gt;=8),"CZERWONY",IF(OR(M66&gt;=3,N66&lt;6.5,L66&gt;=7,Z66&lt;=4),"ŻÓŁTY","OK")))</x:f>
      </x:c>
      <x:c r="AB66" s="226" t="str">
        <x:f>IF(AA66="","",IF(AA66="OK","Realizuj plan normalnie.",IF(AA66="ŻÓŁTY","Skróć 10-30% albo zamień akcent na easy.", "STOP mocne bodźce: wolne/basen/Tacx Z1 48-72 h.")))</x:f>
      </x:c>
    </x:row>
    <x:row r="67">
      <x:c r="A67" s="77" t="n">
        <x:v>46341</x:v>
      </x:c>
      <x:c r="B67" s="78" t="str">
        <x:v>Niedziela</x:v>
      </x:c>
      <x:c r="C67" s="78" t="str">
        <x:v>Tydzień 9 (Baza 1)</x:v>
      </x:c>
      <x:c r="D67" s="78" t="str">
        <x:v>Technika pływania + tlen + spokojne wejście w rower</x:v>
      </x:c>
      <x:c r="E67" s="78" t="str">
        <x:v>Bieg easy</x:v>
      </x:c>
      <x:c r="F67" s="78" t="str">
        <x:v>13-15 km easy 5:40-6:10/km. Tylko tlen.</x:v>
      </x:c>
      <x:c r="G67" s="78" t="str">
        <x:v>ŁATWY</x:v>
      </x:c>
      <x:c r="H67" s="78" t="str">
        <x:v>Baza biegowa</x:v>
      </x:c>
      <x:c r="I67" s="78" t="str">
        <x:v>Jajka lub jogurt/skyr + owoce; kawa spokojnie.</x:v>
      </x:c>
      <x:c r="J67" s="78" t="str">
        <x:v>Zupa/kasza/ryż + warzywa + białko; nawodnienie.</x:v>
      </x:c>
      <x:c r="K67" s="78" t="str">
        <x:v>Lekka kolacja: ryż/ziemniaki + ryba/tofu/jaja + warzywa.</x:v>
      </x:c>
      <x:c r="L67" s="78"/>
      <x:c r="M67" s="78"/>
      <x:c r="N67" s="78"/>
      <x:c r="O67" s="78"/>
      <x:c r="P67" s="78"/>
      <x:c r="Q67" s="78" t="str">
        <x:v>Jeśli nogi ciężkie: skróć o 20-30% i trzymaj Z1/Z2.</x:v>
      </x:c>
      <x:c r="V67" s="227"/>
      <x:c r="W67" s="228"/>
      <x:c r="X67" s="226"/>
      <x:c r="Y67" s="229"/>
      <x:c r="Z67" s="227"/>
      <x:c r="AA67" s="226" t="str">
        <x:f>IF(AND(L67="",M67="",N67="",Z67=""),"",IF(OR(M67&gt;=5,N67&lt;6,L67&gt;=8),"CZERWONY",IF(OR(M67&gt;=3,N67&lt;6.5,L67&gt;=7,Z67&lt;=4),"ŻÓŁTY","OK")))</x:f>
      </x:c>
      <x:c r="AB67" s="226" t="str">
        <x:f>IF(AA67="","",IF(AA67="OK","Realizuj plan normalnie.",IF(AA67="ŻÓŁTY","Skróć 10-30% albo zamień akcent na easy.", "STOP mocne bodźce: wolne/basen/Tacx Z1 48-72 h.")))</x:f>
      </x:c>
    </x:row>
    <x:row r="68">
      <x:c r="A68" s="77" t="n">
        <x:v>46342</x:v>
      </x:c>
      <x:c r="B68" s="78" t="str">
        <x:v>Poniedziałek</x:v>
      </x:c>
      <x:c r="C68" s="78" t="str">
        <x:v>Tydzień 10 (Baza 1)</x:v>
      </x:c>
      <x:c r="D68" s="78" t="str">
        <x:v>Technika pływania + tlen + spokojne wejście w rower</x:v>
      </x:c>
      <x:c r="E68" s="78" t="str">
        <x:v>BASEN technika</x:v>
      </x:c>
      <x:c r="F68" s="78" t="str">
        <x:v>1200-1800 m technika: pozycja, oddech, chwyt + 6-8x50 m spokojnie. Celem jest jakość ruchu, nie metry.</x:v>
      </x:c>
      <x:c r="G68" s="78" t="str">
        <x:v>ŁATWY</x:v>
      </x:c>
      <x:c r="H68" s="78" t="str">
        <x:v>Progresja pływania/CSS</x:v>
      </x:c>
      <x:c r="I68" s="78" t="str">
        <x:v>Jajka lub jogurt/skyr + owoce; kawa spokojnie.</x:v>
      </x:c>
      <x:c r="J68" s="78" t="str">
        <x:v>Zupa/kasza/ryż + warzywa + białko; nawodnienie.</x:v>
      </x:c>
      <x:c r="K68" s="78" t="str">
        <x:v>Lekka kolacja: ryż/ziemniaki + ryba/tofu/jaja + warzywa.</x:v>
      </x:c>
      <x:c r="L68" s="78"/>
      <x:c r="M68" s="78"/>
      <x:c r="N68" s="78"/>
      <x:c r="O68" s="78"/>
      <x:c r="P68" s="78"/>
      <x:c r="Q68" s="78" t="str">
        <x:v>Jeśli technika się sypie: skróć odcinki, wydłuż przerwy, nie dokładaj metrów.</x:v>
      </x:c>
      <x:c r="V68" s="227"/>
      <x:c r="W68" s="228"/>
      <x:c r="X68" s="226"/>
      <x:c r="Y68" s="229"/>
      <x:c r="Z68" s="227"/>
      <x:c r="AA68" s="226" t="str">
        <x:f>IF(AND(L68="",M68="",N68="",Z68=""),"",IF(OR(M68&gt;=5,N68&lt;6,L68&gt;=8),"CZERWONY",IF(OR(M68&gt;=3,N68&lt;6.5,L68&gt;=7,Z68&lt;=4),"ŻÓŁTY","OK")))</x:f>
      </x:c>
      <x:c r="AB68" s="226" t="str">
        <x:f>IF(AA68="","",IF(AA68="OK","Realizuj plan normalnie.",IF(AA68="ŻÓŁTY","Skróć 10-30% albo zamień akcent na easy.", "STOP mocne bodźce: wolne/basen/Tacx Z1 48-72 h.")))</x:f>
      </x:c>
    </x:row>
    <x:row r="69">
      <x:c r="A69" s="77" t="n">
        <x:v>46343</x:v>
      </x:c>
      <x:c r="B69" s="78" t="str">
        <x:v>Wtorek</x:v>
      </x:c>
      <x:c r="C69" s="78" t="str">
        <x:v>Tydzień 10 (Baza 1)</x:v>
      </x:c>
      <x:c r="D69" s="78" t="str">
        <x:v>Technika pływania + tlen + spokojne wejście w rower</x:v>
      </x:c>
      <x:c r="E69" s="78" t="str">
        <x:v>Bieg easy/steady</x:v>
      </x:c>
      <x:c r="F69" s="78" t="str">
        <x:v>8-12 km easy, w środku 6x1 min żywiej albo 20 min steady. Bez interwałów na siłę.</x:v>
      </x:c>
      <x:c r="G69" s="78" t="str">
        <x:v>ŁATWY</x:v>
      </x:c>
      <x:c r="H69" s="78" t="str">
        <x:v>Baza biegowa</x:v>
      </x:c>
      <x:c r="I69" s="78" t="str">
        <x:v>Jajka lub jogurt/skyr + owoce; kawa spokojnie.</x:v>
      </x:c>
      <x:c r="J69" s="78" t="str">
        <x:v>Zupa/kasza/ryż + warzywa + białko; nawodnienie.</x:v>
      </x:c>
      <x:c r="K69" s="78" t="str">
        <x:v>Lekka kolacja: ryż/ziemniaki + ryba/tofu/jaja + warzywa.</x:v>
      </x:c>
      <x:c r="L69" s="78"/>
      <x:c r="M69" s="78"/>
      <x:c r="N69" s="78"/>
      <x:c r="O69" s="78"/>
      <x:c r="P69" s="78"/>
      <x:c r="Q69" s="78" t="str">
        <x:v>Jeśli nogi ciężkie: skróć o 20-30% i trzymaj Z1/Z2.</x:v>
      </x:c>
      <x:c r="V69" s="227"/>
      <x:c r="W69" s="228"/>
      <x:c r="X69" s="226"/>
      <x:c r="Y69" s="229"/>
      <x:c r="Z69" s="227"/>
      <x:c r="AA69" s="226" t="str">
        <x:f>IF(AND(L69="",M69="",N69="",Z69=""),"",IF(OR(M69&gt;=5,N69&lt;6,L69&gt;=8),"CZERWONY",IF(OR(M69&gt;=3,N69&lt;6.5,L69&gt;=7,Z69&lt;=4),"ŻÓŁTY","OK")))</x:f>
      </x:c>
      <x:c r="AB69" s="226" t="str">
        <x:f>IF(AA69="","",IF(AA69="OK","Realizuj plan normalnie.",IF(AA69="ŻÓŁTY","Skróć 10-30% albo zamień akcent na easy.", "STOP mocne bodźce: wolne/basen/Tacx Z1 48-72 h.")))</x:f>
      </x:c>
    </x:row>
    <x:row r="70">
      <x:c r="A70" s="77" t="n">
        <x:v>46344</x:v>
      </x:c>
      <x:c r="B70" s="78" t="str">
        <x:v>Środa</x:v>
      </x:c>
      <x:c r="C70" s="78" t="str">
        <x:v>Tydzień 10 (Baza 1)</x:v>
      </x:c>
      <x:c r="D70" s="78" t="str">
        <x:v>Technika pływania + tlen + spokojne wejście w rower</x:v>
      </x:c>
      <x:c r="E70" s="78" t="str">
        <x:v>Tacx Z2</x:v>
      </x:c>
      <x:c r="F70" s="78" t="str">
        <x:v>60-80 min Z2 160-190 W, 3x6 min kadencja 95-100 rpm. Bez progu.</x:v>
      </x:c>
      <x:c r="G70" s="78" t="str">
        <x:v>ŁATWY</x:v>
      </x:c>
      <x:c r="H70" s="78" t="str">
        <x:v>Baza rowerowa</x:v>
      </x:c>
      <x:c r="I70" s="78" t="str">
        <x:v>Jajka lub jogurt/skyr + owoce; kawa spokojnie.</x:v>
      </x:c>
      <x:c r="J70" s="78" t="str">
        <x:v>Zupa/kasza/ryż + warzywa + białko; nawodnienie.</x:v>
      </x:c>
      <x:c r="K70" s="78" t="str">
        <x:v>Lekka kolacja: ryż/ziemniaki + ryba/tofu/jaja + warzywa.</x:v>
      </x:c>
      <x:c r="L70" s="78"/>
      <x:c r="M70" s="78"/>
      <x:c r="N70" s="78"/>
      <x:c r="O70" s="78"/>
      <x:c r="P70" s="78"/>
      <x:c r="Q70" s="78" t="str">
        <x:v>Jeśli nogi ciężkie: skróć o 20-30% i trzymaj Z1/Z2.</x:v>
      </x:c>
      <x:c r="V70" s="227"/>
      <x:c r="W70" s="228"/>
      <x:c r="X70" s="226"/>
      <x:c r="Y70" s="229"/>
      <x:c r="Z70" s="227"/>
      <x:c r="AA70" s="226" t="str">
        <x:f>IF(AND(L70="",M70="",N70="",Z70=""),"",IF(OR(M70&gt;=5,N70&lt;6,L70&gt;=8),"CZERWONY",IF(OR(M70&gt;=3,N70&lt;6.5,L70&gt;=7,Z70&lt;=4),"ŻÓŁTY","OK")))</x:f>
      </x:c>
      <x:c r="AB70" s="226" t="str">
        <x:f>IF(AA70="","",IF(AA70="OK","Realizuj plan normalnie.",IF(AA70="ŻÓŁTY","Skróć 10-30% albo zamień akcent na easy.", "STOP mocne bodźce: wolne/basen/Tacx Z1 48-72 h.")))</x:f>
      </x:c>
    </x:row>
    <x:row r="71">
      <x:c r="A71" s="77" t="n">
        <x:v>46345</x:v>
      </x:c>
      <x:c r="B71" s="78" t="str">
        <x:v>Czwartek</x:v>
      </x:c>
      <x:c r="C71" s="78" t="str">
        <x:v>Tydzień 10 (Baza 1)</x:v>
      </x:c>
      <x:c r="D71" s="78" t="str">
        <x:v>Technika pływania + tlen + spokojne wejście w rower</x:v>
      </x:c>
      <x:c r="E71" s="78" t="str">
        <x:v>Bieg easy + BASEN</x:v>
      </x:c>
      <x:c r="F71" s="78" t="str">
        <x:v>RANO: 6-10 km easy + mobility. WIECZÓR: 1200-1800 m technika: pozycja, oddech, chwyt + 6-8x50 m spokojnie. Celem jest jakość ruchu, nie metry.</x:v>
      </x:c>
      <x:c r="G71" s="78" t="str">
        <x:v>ŁATWY</x:v>
      </x:c>
      <x:c r="H71" s="78" t="str">
        <x:v>Progresja pływania/CSS</x:v>
      </x:c>
      <x:c r="I71" s="78" t="str">
        <x:v>Jajka lub jogurt/skyr + owoce; kawa spokojnie.</x:v>
      </x:c>
      <x:c r="J71" s="78" t="str">
        <x:v>Zupa/kasza/ryż + warzywa + białko; nawodnienie.</x:v>
      </x:c>
      <x:c r="K71" s="78" t="str">
        <x:v>Lekka kolacja: ryż/ziemniaki + ryba/tofu/jaja + warzywa.</x:v>
      </x:c>
      <x:c r="L71" s="78"/>
      <x:c r="M71" s="78"/>
      <x:c r="N71" s="78"/>
      <x:c r="O71" s="78"/>
      <x:c r="P71" s="78"/>
      <x:c r="Q71" s="78" t="str">
        <x:v>Jeśli technika się sypie: skróć odcinki, wydłuż przerwy, nie dokładaj metrów.</x:v>
      </x:c>
      <x:c r="V71" s="227"/>
      <x:c r="W71" s="228"/>
      <x:c r="X71" s="226"/>
      <x:c r="Y71" s="229"/>
      <x:c r="Z71" s="227"/>
      <x:c r="AA71" s="226" t="str">
        <x:f>IF(AND(L71="",M71="",N71="",Z71=""),"",IF(OR(M71&gt;=5,N71&lt;6,L71&gt;=8),"CZERWONY",IF(OR(M71&gt;=3,N71&lt;6.5,L71&gt;=7,Z71&lt;=4),"ŻÓŁTY","OK")))</x:f>
      </x:c>
      <x:c r="AB71" s="226" t="str">
        <x:f>IF(AA71="","",IF(AA71="OK","Realizuj plan normalnie.",IF(AA71="ŻÓŁTY","Skróć 10-30% albo zamień akcent na easy.", "STOP mocne bodźce: wolne/basen/Tacx Z1 48-72 h.")))</x:f>
      </x:c>
    </x:row>
    <x:row r="72">
      <x:c r="A72" s="71" t="n">
        <x:v>46346</x:v>
      </x:c>
      <x:c r="B72" s="72" t="str">
        <x:v>Piątek</x:v>
      </x:c>
      <x:c r="C72" s="72" t="str">
        <x:v>Tydzień 10 (Baza 1)</x:v>
      </x:c>
      <x:c r="D72" s="72" t="str">
        <x:v>Technika pływania + tlen + spokojne wejście w rower</x:v>
      </x:c>
      <x:c r="E72" s="72" t="str">
        <x:v>WOLNE</x:v>
      </x:c>
      <x:c r="F72" s="72" t="str">
        <x:v>Pełna regeneracja. Zero nadrabiania. Sprawdź sen, RPE i ból.</x:v>
      </x:c>
      <x:c r="G72" s="72" t="str">
        <x:v>WOLNE</x:v>
      </x:c>
      <x:c r="H72" s="72" t="str">
        <x:v>Adaptacja</x:v>
      </x:c>
      <x:c r="I72" s="72" t="str">
        <x:v>Normalne śniadanie, bez wymuszonego ładowania.</x:v>
      </x:c>
      <x:c r="J72" s="72" t="str">
        <x:v>Warzywa + białko + spokojna porcja węgli.</x:v>
      </x:c>
      <x:c r="K72" s="72" t="str">
        <x:v>Lekko, prosto, sen ważniejszy niż idealne makro.</x:v>
      </x:c>
      <x:c r="L72" s="72"/>
      <x:c r="M72" s="72"/>
      <x:c r="N72" s="72"/>
      <x:c r="O72" s="72"/>
      <x:c r="P72" s="72"/>
      <x:c r="Q72" s="72" t="str">
        <x:v>Nie nadrabiaj zaległości. Regeneracja jest częścią planu.</x:v>
      </x:c>
      <x:c r="V72" s="227"/>
      <x:c r="W72" s="228"/>
      <x:c r="X72" s="226"/>
      <x:c r="Y72" s="229"/>
      <x:c r="Z72" s="227"/>
      <x:c r="AA72" s="226" t="str">
        <x:f>IF(AND(L72="",M72="",N72="",Z72=""),"",IF(OR(M72&gt;=5,N72&lt;6,L72&gt;=8),"CZERWONY",IF(OR(M72&gt;=3,N72&lt;6.5,L72&gt;=7,Z72&lt;=4),"ŻÓŁTY","OK")))</x:f>
      </x:c>
      <x:c r="AB72" s="226" t="str">
        <x:f>IF(AA72="","",IF(AA72="OK","Realizuj plan normalnie.",IF(AA72="ŻÓŁTY","Skróć 10-30% albo zamień akcent na easy.", "STOP mocne bodźce: wolne/basen/Tacx Z1 48-72 h.")))</x:f>
      </x:c>
    </x:row>
    <x:row r="73">
      <x:c r="A73" s="77" t="n">
        <x:v>46347</x:v>
      </x:c>
      <x:c r="B73" s="78" t="str">
        <x:v>Sobota</x:v>
      </x:c>
      <x:c r="C73" s="78" t="str">
        <x:v>Tydzień 10 (Baza 1)</x:v>
      </x:c>
      <x:c r="D73" s="78" t="str">
        <x:v>Technika pływania + tlen + spokojne wejście w rower</x:v>
      </x:c>
      <x:c r="E73" s="78" t="str">
        <x:v>Rower długi + Zakładka T2</x:v>
      </x:c>
      <x:c r="F73" s="78" t="str">
        <x:v>170 min Z2 z kontrolą kadencji + 6 km T2 easy. Paliwo 60-80 g węgli/h.</x:v>
      </x:c>
      <x:c r="G73" s="78" t="str">
        <x:v>LONG</x:v>
      </x:c>
      <x:c r="H73" s="78" t="str">
        <x:v>Rower + adaptacja T2</x:v>
      </x:c>
      <x:c r="I73" s="78" t="str">
        <x:v>3 h przed: sprawdzony posiłek węglowodanowy; bez nowych produktów.</x:v>
      </x:c>
      <x:c r="J73" s="78" t="str">
        <x:v>Po treningu: ryż/ziemniaki + białko + sól/elektrolity.</x:v>
      </x:c>
      <x:c r="K73" s="78" t="str">
        <x:v>Kolacja regeneracyjna: węgle + białko + warzywa; uzupełnij płyny.</x:v>
      </x:c>
      <x:c r="L73" s="78"/>
      <x:c r="M73" s="78"/>
      <x:c r="N73" s="78"/>
      <x:c r="O73" s="78"/>
      <x:c r="P73" s="78"/>
      <x:c r="Q73" s="78" t="str">
        <x:v>Jeśli ból narasta lub RPE &gt;7 przed połową: skróć, nie nadrabiaj kilometrów.</x:v>
      </x:c>
      <x:c r="V73" s="227"/>
      <x:c r="W73" s="228"/>
      <x:c r="X73" s="226"/>
      <x:c r="Y73" s="229"/>
      <x:c r="Z73" s="227"/>
      <x:c r="AA73" s="226" t="str">
        <x:f>IF(AND(L73="",M73="",N73="",Z73=""),"",IF(OR(M73&gt;=5,N73&lt;6,L73&gt;=8),"CZERWONY",IF(OR(M73&gt;=3,N73&lt;6.5,L73&gt;=7,Z73&lt;=4),"ŻÓŁTY","OK")))</x:f>
      </x:c>
      <x:c r="AB73" s="226" t="str">
        <x:f>IF(AA73="","",IF(AA73="OK","Realizuj plan normalnie.",IF(AA73="ŻÓŁTY","Skróć 10-30% albo zamień akcent na easy.", "STOP mocne bodźce: wolne/basen/Tacx Z1 48-72 h.")))</x:f>
      </x:c>
    </x:row>
    <x:row r="74">
      <x:c r="A74" s="77" t="n">
        <x:v>46348</x:v>
      </x:c>
      <x:c r="B74" s="78" t="str">
        <x:v>Niedziela</x:v>
      </x:c>
      <x:c r="C74" s="78" t="str">
        <x:v>Tydzień 10 (Baza 1)</x:v>
      </x:c>
      <x:c r="D74" s="78" t="str">
        <x:v>Technika pływania + tlen + spokojne wejście w rower</x:v>
      </x:c>
      <x:c r="E74" s="78" t="str">
        <x:v>Bieg easy</x:v>
      </x:c>
      <x:c r="F74" s="78" t="str">
        <x:v>14-16 km easy 5:40-6:10/km. Tylko tlen.</x:v>
      </x:c>
      <x:c r="G74" s="78" t="str">
        <x:v>ŁATWY</x:v>
      </x:c>
      <x:c r="H74" s="78" t="str">
        <x:v>Baza biegowa</x:v>
      </x:c>
      <x:c r="I74" s="78" t="str">
        <x:v>Jajka lub jogurt/skyr + owoce; kawa spokojnie.</x:v>
      </x:c>
      <x:c r="J74" s="78" t="str">
        <x:v>Zupa/kasza/ryż + warzywa + białko; nawodnienie.</x:v>
      </x:c>
      <x:c r="K74" s="78" t="str">
        <x:v>Lekka kolacja: ryż/ziemniaki + ryba/tofu/jaja + warzywa.</x:v>
      </x:c>
      <x:c r="L74" s="78"/>
      <x:c r="M74" s="78"/>
      <x:c r="N74" s="78"/>
      <x:c r="O74" s="78"/>
      <x:c r="P74" s="78"/>
      <x:c r="Q74" s="78" t="str">
        <x:v>Jeśli nogi ciężkie: skróć o 20-30% i trzymaj Z1/Z2.</x:v>
      </x:c>
      <x:c r="V74" s="227"/>
      <x:c r="W74" s="228"/>
      <x:c r="X74" s="226"/>
      <x:c r="Y74" s="229"/>
      <x:c r="Z74" s="227"/>
      <x:c r="AA74" s="226" t="str">
        <x:f>IF(AND(L74="",M74="",N74="",Z74=""),"",IF(OR(M74&gt;=5,N74&lt;6,L74&gt;=8),"CZERWONY",IF(OR(M74&gt;=3,N74&lt;6.5,L74&gt;=7,Z74&lt;=4),"ŻÓŁTY","OK")))</x:f>
      </x:c>
      <x:c r="AB74" s="226" t="str">
        <x:f>IF(AA74="","",IF(AA74="OK","Realizuj plan normalnie.",IF(AA74="ŻÓŁTY","Skróć 10-30% albo zamień akcent na easy.", "STOP mocne bodźce: wolne/basen/Tacx Z1 48-72 h.")))</x:f>
      </x:c>
    </x:row>
    <x:row r="75">
      <x:c r="A75" s="77" t="n">
        <x:v>46349</x:v>
      </x:c>
      <x:c r="B75" s="78" t="str">
        <x:v>Poniedziałek</x:v>
      </x:c>
      <x:c r="C75" s="78" t="str">
        <x:v>Tydzień 11 (Baza 1)</x:v>
      </x:c>
      <x:c r="D75" s="78" t="str">
        <x:v>Technika pływania + tlen + spokojne wejście w rower</x:v>
      </x:c>
      <x:c r="E75" s="78" t="str">
        <x:v>BASEN technika</x:v>
      </x:c>
      <x:c r="F75" s="78" t="str">
        <x:v>1200-1800 m technika: pozycja, oddech, chwyt + 6-8x50 m spokojnie. Celem jest jakość ruchu, nie metry.</x:v>
      </x:c>
      <x:c r="G75" s="78" t="str">
        <x:v>ŁATWY</x:v>
      </x:c>
      <x:c r="H75" s="78" t="str">
        <x:v>Progresja pływania/CSS</x:v>
      </x:c>
      <x:c r="I75" s="78" t="str">
        <x:v>Jajka lub jogurt/skyr + owoce; kawa spokojnie.</x:v>
      </x:c>
      <x:c r="J75" s="78" t="str">
        <x:v>Zupa/kasza/ryż + warzywa + białko; nawodnienie.</x:v>
      </x:c>
      <x:c r="K75" s="78" t="str">
        <x:v>Lekka kolacja: ryż/ziemniaki + ryba/tofu/jaja + warzywa.</x:v>
      </x:c>
      <x:c r="L75" s="78"/>
      <x:c r="M75" s="78"/>
      <x:c r="N75" s="78"/>
      <x:c r="O75" s="78"/>
      <x:c r="P75" s="78"/>
      <x:c r="Q75" s="78" t="str">
        <x:v>Jeśli technika się sypie: skróć odcinki, wydłuż przerwy, nie dokładaj metrów.</x:v>
      </x:c>
      <x:c r="V75" s="227"/>
      <x:c r="W75" s="228"/>
      <x:c r="X75" s="226"/>
      <x:c r="Y75" s="229"/>
      <x:c r="Z75" s="227"/>
      <x:c r="AA75" s="226" t="str">
        <x:f>IF(AND(L75="",M75="",N75="",Z75=""),"",IF(OR(M75&gt;=5,N75&lt;6,L75&gt;=8),"CZERWONY",IF(OR(M75&gt;=3,N75&lt;6.5,L75&gt;=7,Z75&lt;=4),"ŻÓŁTY","OK")))</x:f>
      </x:c>
      <x:c r="AB75" s="226" t="str">
        <x:f>IF(AA75="","",IF(AA75="OK","Realizuj plan normalnie.",IF(AA75="ŻÓŁTY","Skróć 10-30% albo zamień akcent na easy.", "STOP mocne bodźce: wolne/basen/Tacx Z1 48-72 h.")))</x:f>
      </x:c>
    </x:row>
    <x:row r="76">
      <x:c r="A76" s="77" t="n">
        <x:v>46350</x:v>
      </x:c>
      <x:c r="B76" s="78" t="str">
        <x:v>Wtorek</x:v>
      </x:c>
      <x:c r="C76" s="78" t="str">
        <x:v>Tydzień 11 (Baza 1)</x:v>
      </x:c>
      <x:c r="D76" s="78" t="str">
        <x:v>Technika pływania + tlen + spokojne wejście w rower</x:v>
      </x:c>
      <x:c r="E76" s="78" t="str">
        <x:v>Bieg easy + rytmy</x:v>
      </x:c>
      <x:c r="F76" s="78" t="str">
        <x:v>6-8 km easy + 4x20 s rytmy tylko jeśli świeżo. Tydzień lżejszy.</x:v>
      </x:c>
      <x:c r="G76" s="78" t="str">
        <x:v>REGENERACJA</x:v>
      </x:c>
      <x:c r="H76" s="78" t="str">
        <x:v>Odświeżenie</x:v>
      </x:c>
      <x:c r="I76" s="78" t="str">
        <x:v>Normalne śniadanie, bez wymuszonego ładowania.</x:v>
      </x:c>
      <x:c r="J76" s="78" t="str">
        <x:v>Warzywa + białko + spokojna porcja węgli.</x:v>
      </x:c>
      <x:c r="K76" s="78" t="str">
        <x:v>Lekko, prosto, sen ważniejszy niż idealne makro.</x:v>
      </x:c>
      <x:c r="L76" s="78"/>
      <x:c r="M76" s="78"/>
      <x:c r="N76" s="78"/>
      <x:c r="O76" s="78"/>
      <x:c r="P76" s="78"/>
      <x:c r="Q76" s="78" t="str">
        <x:v>Nie nadrabiaj zaległości. Regeneracja jest częścią planu.</x:v>
      </x:c>
      <x:c r="V76" s="227"/>
      <x:c r="W76" s="228"/>
      <x:c r="X76" s="226"/>
      <x:c r="Y76" s="229"/>
      <x:c r="Z76" s="227"/>
      <x:c r="AA76" s="226" t="str">
        <x:f>IF(AND(L76="",M76="",N76="",Z76=""),"",IF(OR(M76&gt;=5,N76&lt;6,L76&gt;=8),"CZERWONY",IF(OR(M76&gt;=3,N76&lt;6.5,L76&gt;=7,Z76&lt;=4),"ŻÓŁTY","OK")))</x:f>
      </x:c>
      <x:c r="AB76" s="226" t="str">
        <x:f>IF(AA76="","",IF(AA76="OK","Realizuj plan normalnie.",IF(AA76="ŻÓŁTY","Skróć 10-30% albo zamień akcent na easy.", "STOP mocne bodźce: wolne/basen/Tacx Z1 48-72 h.")))</x:f>
      </x:c>
    </x:row>
    <x:row r="77">
      <x:c r="A77" s="77" t="n">
        <x:v>46351</x:v>
      </x:c>
      <x:c r="B77" s="78" t="str">
        <x:v>Środa</x:v>
      </x:c>
      <x:c r="C77" s="78" t="str">
        <x:v>Tydzień 11 (Baza 1)</x:v>
      </x:c>
      <x:c r="D77" s="78" t="str">
        <x:v>Technika pływania + tlen + spokojne wejście w rower</x:v>
      </x:c>
      <x:c r="E77" s="78" t="str">
        <x:v>Tacx regeneracyjny</x:v>
      </x:c>
      <x:c r="F77" s="78" t="str">
        <x:v>45-60 min Z1/Z2 135-165 W. STAŁY limit regeneracji: bez skalowania minut, bez sweet spot.</x:v>
      </x:c>
      <x:c r="G77" s="78" t="str">
        <x:v>REGENERACJA</x:v>
      </x:c>
      <x:c r="H77" s="78" t="str">
        <x:v>Odświeżenie</x:v>
      </x:c>
      <x:c r="I77" s="78" t="str">
        <x:v>Normalne śniadanie, bez wymuszonego ładowania.</x:v>
      </x:c>
      <x:c r="J77" s="78" t="str">
        <x:v>Warzywa + białko + spokojna porcja węgli.</x:v>
      </x:c>
      <x:c r="K77" s="78" t="str">
        <x:v>Lekko, prosto, sen ważniejszy niż idealne makro.</x:v>
      </x:c>
      <x:c r="L77" s="78"/>
      <x:c r="M77" s="78"/>
      <x:c r="N77" s="78"/>
      <x:c r="O77" s="78"/>
      <x:c r="P77" s="78"/>
      <x:c r="Q77" s="78" t="str">
        <x:v>Nie nadrabiaj zaległości. Regeneracja jest częścią planu.</x:v>
      </x:c>
      <x:c r="V77" s="227"/>
      <x:c r="W77" s="228"/>
      <x:c r="X77" s="226"/>
      <x:c r="Y77" s="229"/>
      <x:c r="Z77" s="227"/>
      <x:c r="AA77" s="226" t="str">
        <x:f>IF(AND(L77="",M77="",N77="",Z77=""),"",IF(OR(M77&gt;=5,N77&lt;6,L77&gt;=8),"CZERWONY",IF(OR(M77&gt;=3,N77&lt;6.5,L77&gt;=7,Z77&lt;=4),"ŻÓŁTY","OK")))</x:f>
      </x:c>
      <x:c r="AB77" s="226" t="str">
        <x:f>IF(AA77="","",IF(AA77="OK","Realizuj plan normalnie.",IF(AA77="ŻÓŁTY","Skróć 10-30% albo zamień akcent na easy.", "STOP mocne bodźce: wolne/basen/Tacx Z1 48-72 h.")))</x:f>
      </x:c>
    </x:row>
    <x:row r="78">
      <x:c r="A78" s="77" t="n">
        <x:v>46352</x:v>
      </x:c>
      <x:c r="B78" s="78" t="str">
        <x:v>Czwartek</x:v>
      </x:c>
      <x:c r="C78" s="78" t="str">
        <x:v>Tydzień 11 (Baza 1)</x:v>
      </x:c>
      <x:c r="D78" s="78" t="str">
        <x:v>Technika pływania + tlen + spokojne wejście w rower</x:v>
      </x:c>
      <x:c r="E78" s="78" t="str">
        <x:v>Bieg easy + BASEN</x:v>
      </x:c>
      <x:c r="F78" s="78" t="str">
        <x:v>RANO: 6-10 km easy + mobility. WIECZÓR: 1200-1800 m technika: pozycja, oddech, chwyt + 6-8x50 m spokojnie. Celem jest jakość ruchu, nie metry.</x:v>
      </x:c>
      <x:c r="G78" s="78" t="str">
        <x:v>ŁATWY</x:v>
      </x:c>
      <x:c r="H78" s="78" t="str">
        <x:v>Progresja pływania/CSS</x:v>
      </x:c>
      <x:c r="I78" s="78" t="str">
        <x:v>Jajka lub jogurt/skyr + owoce; kawa spokojnie.</x:v>
      </x:c>
      <x:c r="J78" s="78" t="str">
        <x:v>Zupa/kasza/ryż + warzywa + białko; nawodnienie.</x:v>
      </x:c>
      <x:c r="K78" s="78" t="str">
        <x:v>Lekka kolacja: ryż/ziemniaki + ryba/tofu/jaja + warzywa.</x:v>
      </x:c>
      <x:c r="L78" s="78"/>
      <x:c r="M78" s="78"/>
      <x:c r="N78" s="78"/>
      <x:c r="O78" s="78"/>
      <x:c r="P78" s="78"/>
      <x:c r="Q78" s="78" t="str">
        <x:v>Jeśli technika się sypie: skróć odcinki, wydłuż przerwy, nie dokładaj metrów.</x:v>
      </x:c>
      <x:c r="V78" s="227"/>
      <x:c r="W78" s="228"/>
      <x:c r="X78" s="226"/>
      <x:c r="Y78" s="229"/>
      <x:c r="Z78" s="227"/>
      <x:c r="AA78" s="226" t="str">
        <x:f>IF(AND(L78="",M78="",N78="",Z78=""),"",IF(OR(M78&gt;=5,N78&lt;6,L78&gt;=8),"CZERWONY",IF(OR(M78&gt;=3,N78&lt;6.5,L78&gt;=7,Z78&lt;=4),"ŻÓŁTY","OK")))</x:f>
      </x:c>
      <x:c r="AB78" s="226" t="str">
        <x:f>IF(AA78="","",IF(AA78="OK","Realizuj plan normalnie.",IF(AA78="ŻÓŁTY","Skróć 10-30% albo zamień akcent na easy.", "STOP mocne bodźce: wolne/basen/Tacx Z1 48-72 h.")))</x:f>
      </x:c>
    </x:row>
    <x:row r="79">
      <x:c r="A79" s="71" t="n">
        <x:v>46353</x:v>
      </x:c>
      <x:c r="B79" s="72" t="str">
        <x:v>Piątek</x:v>
      </x:c>
      <x:c r="C79" s="72" t="str">
        <x:v>Tydzień 11 (Baza 1)</x:v>
      </x:c>
      <x:c r="D79" s="72" t="str">
        <x:v>Technika pływania + tlen + spokojne wejście w rower</x:v>
      </x:c>
      <x:c r="E79" s="72" t="str">
        <x:v>WOLNE</x:v>
      </x:c>
      <x:c r="F79" s="72" t="str">
        <x:v>Pełna regeneracja. Zero nadrabiania. Sprawdź sen, RPE i ból.</x:v>
      </x:c>
      <x:c r="G79" s="72" t="str">
        <x:v>WOLNE</x:v>
      </x:c>
      <x:c r="H79" s="72" t="str">
        <x:v>Adaptacja</x:v>
      </x:c>
      <x:c r="I79" s="72" t="str">
        <x:v>Normalne śniadanie, bez wymuszonego ładowania.</x:v>
      </x:c>
      <x:c r="J79" s="72" t="str">
        <x:v>Warzywa + białko + spokojna porcja węgli.</x:v>
      </x:c>
      <x:c r="K79" s="72" t="str">
        <x:v>Lekko, prosto, sen ważniejszy niż idealne makro.</x:v>
      </x:c>
      <x:c r="L79" s="72"/>
      <x:c r="M79" s="72"/>
      <x:c r="N79" s="72"/>
      <x:c r="O79" s="72"/>
      <x:c r="P79" s="72"/>
      <x:c r="Q79" s="72" t="str">
        <x:v>Nie nadrabiaj zaległości. Regeneracja jest częścią planu.</x:v>
      </x:c>
      <x:c r="V79" s="227"/>
      <x:c r="W79" s="228"/>
      <x:c r="X79" s="226"/>
      <x:c r="Y79" s="229"/>
      <x:c r="Z79" s="227"/>
      <x:c r="AA79" s="226" t="str">
        <x:f>IF(AND(L79="",M79="",N79="",Z79=""),"",IF(OR(M79&gt;=5,N79&lt;6,L79&gt;=8),"CZERWONY",IF(OR(M79&gt;=3,N79&lt;6.5,L79&gt;=7,Z79&lt;=4),"ŻÓŁTY","OK")))</x:f>
      </x:c>
      <x:c r="AB79" s="226" t="str">
        <x:f>IF(AA79="","",IF(AA79="OK","Realizuj plan normalnie.",IF(AA79="ŻÓŁTY","Skróć 10-30% albo zamień akcent na easy.", "STOP mocne bodźce: wolne/basen/Tacx Z1 48-72 h.")))</x:f>
      </x:c>
    </x:row>
    <x:row r="80">
      <x:c r="A80" s="77" t="n">
        <x:v>46354</x:v>
      </x:c>
      <x:c r="B80" s="78" t="str">
        <x:v>Sobota</x:v>
      </x:c>
      <x:c r="C80" s="78" t="str">
        <x:v>Tydzień 11 (Baza 1)</x:v>
      </x:c>
      <x:c r="D80" s="78" t="str">
        <x:v>Technika pływania + tlen + spokojne wejście w rower</x:v>
      </x:c>
      <x:c r="E80" s="78" t="str">
        <x:v>Rower regeneracyjny</x:v>
      </x:c>
      <x:c r="F80" s="78" t="str">
        <x:v>45-60 min Z1/Z2. Bez T2. To jest prawdziwy tydzień regeneracyjny.</x:v>
      </x:c>
      <x:c r="G80" s="78" t="str">
        <x:v>REGENERACJA</x:v>
      </x:c>
      <x:c r="H80" s="78" t="str">
        <x:v>Zrzut zmęczenia</x:v>
      </x:c>
      <x:c r="I80" s="78" t="str">
        <x:v>Normalne śniadanie, bez wymuszonego ładowania.</x:v>
      </x:c>
      <x:c r="J80" s="78" t="str">
        <x:v>Warzywa + białko + spokojna porcja węgli.</x:v>
      </x:c>
      <x:c r="K80" s="78" t="str">
        <x:v>Lekko, prosto, sen ważniejszy niż idealne makro.</x:v>
      </x:c>
      <x:c r="L80" s="78"/>
      <x:c r="M80" s="78"/>
      <x:c r="N80" s="78"/>
      <x:c r="O80" s="78"/>
      <x:c r="P80" s="78"/>
      <x:c r="Q80" s="78" t="str">
        <x:v>Nie nadrabiaj zaległości. Regeneracja jest częścią planu.</x:v>
      </x:c>
      <x:c r="V80" s="227"/>
      <x:c r="W80" s="228"/>
      <x:c r="X80" s="226"/>
      <x:c r="Y80" s="229"/>
      <x:c r="Z80" s="227"/>
      <x:c r="AA80" s="226" t="str">
        <x:f>IF(AND(L80="",M80="",N80="",Z80=""),"",IF(OR(M80&gt;=5,N80&lt;6,L80&gt;=8),"CZERWONY",IF(OR(M80&gt;=3,N80&lt;6.5,L80&gt;=7,Z80&lt;=4),"ŻÓŁTY","OK")))</x:f>
      </x:c>
      <x:c r="AB80" s="226" t="str">
        <x:f>IF(AA80="","",IF(AA80="OK","Realizuj plan normalnie.",IF(AA80="ŻÓŁTY","Skróć 10-30% albo zamień akcent na easy.", "STOP mocne bodźce: wolne/basen/Tacx Z1 48-72 h.")))</x:f>
      </x:c>
    </x:row>
    <x:row r="81">
      <x:c r="A81" s="77" t="n">
        <x:v>46355</x:v>
      </x:c>
      <x:c r="B81" s="78" t="str">
        <x:v>Niedziela</x:v>
      </x:c>
      <x:c r="C81" s="78" t="str">
        <x:v>Tydzień 11 (Baza 1)</x:v>
      </x:c>
      <x:c r="D81" s="78" t="str">
        <x:v>Technika pływania + tlen + spokojne wejście w rower</x:v>
      </x:c>
      <x:c r="E81" s="78" t="str">
        <x:v>Bieg easy krótki</x:v>
      </x:c>
      <x:c r="F81" s="78" t="str">
        <x:v>6-10 km easy 5:45-6:15/km. Tydzień lżejszy, bez ambicji.</x:v>
      </x:c>
      <x:c r="G81" s="78" t="str">
        <x:v>REGENERACJA</x:v>
      </x:c>
      <x:c r="H81" s="78" t="str">
        <x:v>Odświeżenie</x:v>
      </x:c>
      <x:c r="I81" s="78" t="str">
        <x:v>Normalne śniadanie, bez wymuszonego ładowania.</x:v>
      </x:c>
      <x:c r="J81" s="78" t="str">
        <x:v>Warzywa + białko + spokojna porcja węgli.</x:v>
      </x:c>
      <x:c r="K81" s="78" t="str">
        <x:v>Lekko, prosto, sen ważniejszy niż idealne makro.</x:v>
      </x:c>
      <x:c r="L81" s="78"/>
      <x:c r="M81" s="78"/>
      <x:c r="N81" s="78"/>
      <x:c r="O81" s="78"/>
      <x:c r="P81" s="78"/>
      <x:c r="Q81" s="78" t="str">
        <x:v>Nie nadrabiaj zaległości. Regeneracja jest częścią planu.</x:v>
      </x:c>
      <x:c r="V81" s="227"/>
      <x:c r="W81" s="228"/>
      <x:c r="X81" s="226"/>
      <x:c r="Y81" s="229"/>
      <x:c r="Z81" s="227"/>
      <x:c r="AA81" s="226" t="str">
        <x:f>IF(AND(L81="",M81="",N81="",Z81=""),"",IF(OR(M81&gt;=5,N81&lt;6,L81&gt;=8),"CZERWONY",IF(OR(M81&gt;=3,N81&lt;6.5,L81&gt;=7,Z81&lt;=4),"ŻÓŁTY","OK")))</x:f>
      </x:c>
      <x:c r="AB81" s="226" t="str">
        <x:f>IF(AA81="","",IF(AA81="OK","Realizuj plan normalnie.",IF(AA81="ŻÓŁTY","Skróć 10-30% albo zamień akcent na easy.", "STOP mocne bodźce: wolne/basen/Tacx Z1 48-72 h.")))</x:f>
      </x:c>
    </x:row>
    <x:row r="82">
      <x:c r="A82" s="77" t="n">
        <x:v>46356</x:v>
      </x:c>
      <x:c r="B82" s="78" t="str">
        <x:v>Poniedziałek</x:v>
      </x:c>
      <x:c r="C82" s="78" t="str">
        <x:v>Tydzień 12 (Baza 2 / siła)</x:v>
      </x:c>
      <x:c r="D82" s="78" t="str">
        <x:v>Siła rowerowa, stabilizacja, stopniowe T2</x:v>
      </x:c>
      <x:c r="E82" s="78" t="str">
        <x:v>BASEN technika</x:v>
      </x:c>
      <x:c r="F82" s="78" t="str">
        <x:v>1600-2200 m: technika + CSS intro 6-8x100 m w równym tempie, przerwa 15-20 s + schłodzenie.</x:v>
      </x:c>
      <x:c r="G82" s="78" t="str">
        <x:v>ŁATWY</x:v>
      </x:c>
      <x:c r="H82" s="78" t="str">
        <x:v>Progresja pływania/CSS</x:v>
      </x:c>
      <x:c r="I82" s="78" t="str">
        <x:v>Jajka lub jogurt/skyr + owoce; kawa spokojnie.</x:v>
      </x:c>
      <x:c r="J82" s="78" t="str">
        <x:v>Zupa/kasza/ryż + warzywa + białko; nawodnienie.</x:v>
      </x:c>
      <x:c r="K82" s="78" t="str">
        <x:v>Lekka kolacja: ryż/ziemniaki + ryba/tofu/jaja + warzywa.</x:v>
      </x:c>
      <x:c r="L82" s="78"/>
      <x:c r="M82" s="78"/>
      <x:c r="N82" s="78"/>
      <x:c r="O82" s="78"/>
      <x:c r="P82" s="78"/>
      <x:c r="Q82" s="78" t="str">
        <x:v>Jeśli technika się sypie: skróć odcinki, wydłuż przerwy, nie dokładaj metrów.</x:v>
      </x:c>
      <x:c r="V82" s="227"/>
      <x:c r="W82" s="228"/>
      <x:c r="X82" s="226"/>
      <x:c r="Y82" s="229"/>
      <x:c r="Z82" s="227"/>
      <x:c r="AA82" s="226" t="str">
        <x:f>IF(AND(L82="",M82="",N82="",Z82=""),"",IF(OR(M82&gt;=5,N82&lt;6,L82&gt;=8),"CZERWONY",IF(OR(M82&gt;=3,N82&lt;6.5,L82&gt;=7,Z82&lt;=4),"ŻÓŁTY","OK")))</x:f>
      </x:c>
      <x:c r="AB82" s="226" t="str">
        <x:f>IF(AA82="","",IF(AA82="OK","Realizuj plan normalnie.",IF(AA82="ŻÓŁTY","Skróć 10-30% albo zamień akcent na easy.", "STOP mocne bodźce: wolne/basen/Tacx Z1 48-72 h.")))</x:f>
      </x:c>
    </x:row>
    <x:row r="83" ht="26" customHeight="1">
      <x:c r="A83" s="148" t="n">
        <x:v>46357</x:v>
      </x:c>
      <x:c r="B83" s="149" t="str">
        <x:v>Wtorek</x:v>
      </x:c>
      <x:c r="C83" s="149" t="str">
        <x:v>Tydzień 12 (Baza 2 / siła)</x:v>
      </x:c>
      <x:c r="D83" s="162" t="str">
        <x:v>Siła rowerowa, stabilizacja, stopniowe T2</x:v>
      </x:c>
      <x:c r="E83" s="162" t="str">
        <x:v>Bieg easy/steady</x:v>
      </x:c>
      <x:c r="F83" s="162" t="str">
        <x:v>8-12 km easy, w środku 6x1 min żywiej albo 20 min steady. Bez interwałów na siłę.</x:v>
      </x:c>
      <x:c r="G83" s="162" t="str">
        <x:v>ŁATWY</x:v>
      </x:c>
      <x:c r="H83" s="162" t="str">
        <x:v>Baza biegowa</x:v>
      </x:c>
      <x:c r="I83" s="162" t="str">
        <x:v>Jajka lub jogurt/skyr + owoce; kawa spokojnie.</x:v>
      </x:c>
      <x:c r="J83" s="162" t="str">
        <x:v>Zupa/kasza/ryż + warzywa + białko; nawodnienie.</x:v>
      </x:c>
      <x:c r="K83" s="162" t="str">
        <x:v>Lekka kolacja: ryż/ziemniaki + ryba/tofu/jaja + warzywa.</x:v>
      </x:c>
      <x:c r="L83" s="162"/>
      <x:c r="M83" s="162"/>
      <x:c r="N83" s="162"/>
      <x:c r="O83" s="162"/>
      <x:c r="P83" s="162"/>
      <x:c r="Q83" s="162" t="str">
        <x:v>Jeśli nogi ciężkie: skróć o 20-30% i trzymaj Z1/Z2.</x:v>
      </x:c>
      <x:c r="R83" s="136" t="str">
        <x:v>GRUDZIEŃ 2026</x:v>
      </x:c>
      <x:c r="V83" s="227"/>
      <x:c r="W83" s="228"/>
      <x:c r="X83" s="226"/>
      <x:c r="Y83" s="229"/>
      <x:c r="Z83" s="227"/>
      <x:c r="AA83" s="226" t="str">
        <x:f>IF(AND(L83="",M83="",N83="",Z83=""),"",IF(OR(M83&gt;=5,N83&lt;6,L83&gt;=8),"CZERWONY",IF(OR(M83&gt;=3,N83&lt;6.5,L83&gt;=7,Z83&lt;=4),"ŻÓŁTY","OK")))</x:f>
      </x:c>
      <x:c r="AB83" s="226" t="str">
        <x:f>IF(AA83="","",IF(AA83="OK","Realizuj plan normalnie.",IF(AA83="ŻÓŁTY","Skróć 10-30% albo zamień akcent na easy.", "STOP mocne bodźce: wolne/basen/Tacx Z1 48-72 h.")))</x:f>
      </x:c>
    </x:row>
    <x:row r="84">
      <x:c r="A84" s="53" t="n">
        <x:v>46358</x:v>
      </x:c>
      <x:c r="B84" s="54" t="str">
        <x:v>Środa</x:v>
      </x:c>
      <x:c r="C84" s="54" t="str">
        <x:v>Tydzień 12 (Baza 2 / siła)</x:v>
      </x:c>
      <x:c r="D84" s="54" t="str">
        <x:v>Siła rowerowa, stabilizacja, stopniowe T2</x:v>
      </x:c>
      <x:c r="E84" s="54" t="str">
        <x:v>TEST FTP / Ramp lub 20 min</x:v>
      </x:c>
      <x:c r="F84" s="54" t="str">
        <x:v>Rozgrzewka 20 min + ramp test albo 20 min FTP + schłodzenie. Po teście aktualizuj strefy watów.</x:v>
      </x:c>
      <x:c r="G84" s="54" t="str">
        <x:v>TEST/START</x:v>
      </x:c>
      <x:c r="H84" s="54" t="str">
        <x:v>Kalibracja mocy</x:v>
      </x:c>
      <x:c r="I84" s="54" t="str">
        <x:v>3 h przed: sprawdzony posiłek węglowodanowy; bez nowych produktów.</x:v>
      </x:c>
      <x:c r="J84" s="54" t="str">
        <x:v>Po treningu: ryż/ziemniaki + białko + sól/elektrolity.</x:v>
      </x:c>
      <x:c r="K84" s="54" t="str">
        <x:v>Kolacja regeneracyjna: węgle + białko + warzywa; uzupełnij płyny.</x:v>
      </x:c>
      <x:c r="L84" s="54"/>
      <x:c r="M84" s="54"/>
      <x:c r="N84" s="54"/>
      <x:c r="O84" s="54"/>
      <x:c r="P84" s="54"/>
      <x:c r="Q84" s="54" t="str">
        <x:v>Jeśli ból ≥3/10 lub sen &lt;6 h: zamień na easy 30-45 min albo basen.</x:v>
      </x:c>
      <x:c r="V84" s="227"/>
      <x:c r="W84" s="228"/>
      <x:c r="X84" s="226"/>
      <x:c r="Y84" s="229"/>
      <x:c r="Z84" s="227"/>
      <x:c r="AA84" s="226" t="str">
        <x:f>IF(AND(L84="",M84="",N84="",Z84=""),"",IF(OR(M84&gt;=5,N84&lt;6,L84&gt;=8),"CZERWONY",IF(OR(M84&gt;=3,N84&lt;6.5,L84&gt;=7,Z84&lt;=4),"ŻÓŁTY","OK")))</x:f>
      </x:c>
      <x:c r="AB84" s="226" t="str">
        <x:f>IF(AA84="","",IF(AA84="OK","Realizuj plan normalnie.",IF(AA84="ŻÓŁTY","Skróć 10-30% albo zamień akcent na easy.", "STOP mocne bodźce: wolne/basen/Tacx Z1 48-72 h.")))</x:f>
      </x:c>
    </x:row>
    <x:row r="85">
      <x:c r="A85" s="77" t="n">
        <x:v>46359</x:v>
      </x:c>
      <x:c r="B85" s="78" t="str">
        <x:v>Czwartek</x:v>
      </x:c>
      <x:c r="C85" s="78" t="str">
        <x:v>Tydzień 12 (Baza 2 / siła)</x:v>
      </x:c>
      <x:c r="D85" s="78" t="str">
        <x:v>Siła rowerowa, stabilizacja, stopniowe T2</x:v>
      </x:c>
      <x:c r="E85" s="78" t="str">
        <x:v>Bieg easy + BASEN</x:v>
      </x:c>
      <x:c r="F85" s="78" t="str">
        <x:v>RANO: 6-10 km easy + mobility. WIECZÓR: 1600-2200 m: technika + CSS intro 6-8x100 m w równym tempie, przerwa 15-20 s + schłodzenie.</x:v>
      </x:c>
      <x:c r="G85" s="78" t="str">
        <x:v>ŁATWY</x:v>
      </x:c>
      <x:c r="H85" s="78" t="str">
        <x:v>Progresja pływania/CSS</x:v>
      </x:c>
      <x:c r="I85" s="78" t="str">
        <x:v>Jajka lub jogurt/skyr + owoce; kawa spokojnie.</x:v>
      </x:c>
      <x:c r="J85" s="78" t="str">
        <x:v>Zupa/kasza/ryż + warzywa + białko; nawodnienie.</x:v>
      </x:c>
      <x:c r="K85" s="78" t="str">
        <x:v>Lekka kolacja: ryż/ziemniaki + ryba/tofu/jaja + warzywa.</x:v>
      </x:c>
      <x:c r="L85" s="78"/>
      <x:c r="M85" s="78"/>
      <x:c r="N85" s="78"/>
      <x:c r="O85" s="78"/>
      <x:c r="P85" s="78"/>
      <x:c r="Q85" s="78" t="str">
        <x:v>Jeśli technika się sypie: skróć odcinki, wydłuż przerwy, nie dokładaj metrów.</x:v>
      </x:c>
      <x:c r="V85" s="227"/>
      <x:c r="W85" s="228"/>
      <x:c r="X85" s="226"/>
      <x:c r="Y85" s="229"/>
      <x:c r="Z85" s="227"/>
      <x:c r="AA85" s="226" t="str">
        <x:f>IF(AND(L85="",M85="",N85="",Z85=""),"",IF(OR(M85&gt;=5,N85&lt;6,L85&gt;=8),"CZERWONY",IF(OR(M85&gt;=3,N85&lt;6.5,L85&gt;=7,Z85&lt;=4),"ŻÓŁTY","OK")))</x:f>
      </x:c>
      <x:c r="AB85" s="226" t="str">
        <x:f>IF(AA85="","",IF(AA85="OK","Realizuj plan normalnie.",IF(AA85="ŻÓŁTY","Skróć 10-30% albo zamień akcent na easy.", "STOP mocne bodźce: wolne/basen/Tacx Z1 48-72 h.")))</x:f>
      </x:c>
    </x:row>
    <x:row r="86">
      <x:c r="A86" s="71" t="n">
        <x:v>46360</x:v>
      </x:c>
      <x:c r="B86" s="72" t="str">
        <x:v>Piątek</x:v>
      </x:c>
      <x:c r="C86" s="72" t="str">
        <x:v>Tydzień 12 (Baza 2 / siła)</x:v>
      </x:c>
      <x:c r="D86" s="72" t="str">
        <x:v>Siła rowerowa, stabilizacja, stopniowe T2</x:v>
      </x:c>
      <x:c r="E86" s="72" t="str">
        <x:v>WOLNE</x:v>
      </x:c>
      <x:c r="F86" s="72" t="str">
        <x:v>Pełna regeneracja. Zero nadrabiania. Sprawdź sen, RPE i ból.</x:v>
      </x:c>
      <x:c r="G86" s="72" t="str">
        <x:v>WOLNE</x:v>
      </x:c>
      <x:c r="H86" s="72" t="str">
        <x:v>Adaptacja</x:v>
      </x:c>
      <x:c r="I86" s="72" t="str">
        <x:v>Normalne śniadanie, bez wymuszonego ładowania.</x:v>
      </x:c>
      <x:c r="J86" s="72" t="str">
        <x:v>Warzywa + białko + spokojna porcja węgli.</x:v>
      </x:c>
      <x:c r="K86" s="72" t="str">
        <x:v>Lekko, prosto, sen ważniejszy niż idealne makro.</x:v>
      </x:c>
      <x:c r="L86" s="72"/>
      <x:c r="M86" s="72"/>
      <x:c r="N86" s="72"/>
      <x:c r="O86" s="72"/>
      <x:c r="P86" s="72"/>
      <x:c r="Q86" s="72" t="str">
        <x:v>Nie nadrabiaj zaległości. Regeneracja jest częścią planu.</x:v>
      </x:c>
      <x:c r="V86" s="227"/>
      <x:c r="W86" s="228"/>
      <x:c r="X86" s="226"/>
      <x:c r="Y86" s="229"/>
      <x:c r="Z86" s="227"/>
      <x:c r="AA86" s="226" t="str">
        <x:f>IF(AND(L86="",M86="",N86="",Z86=""),"",IF(OR(M86&gt;=5,N86&lt;6,L86&gt;=8),"CZERWONY",IF(OR(M86&gt;=3,N86&lt;6.5,L86&gt;=7,Z86&lt;=4),"ŻÓŁTY","OK")))</x:f>
      </x:c>
      <x:c r="AB86" s="226" t="str">
        <x:f>IF(AA86="","",IF(AA86="OK","Realizuj plan normalnie.",IF(AA86="ŻÓŁTY","Skróć 10-30% albo zamień akcent na easy.", "STOP mocne bodźce: wolne/basen/Tacx Z1 48-72 h.")))</x:f>
      </x:c>
    </x:row>
    <x:row r="87">
      <x:c r="A87" s="113" t="n">
        <x:v>46361</x:v>
      </x:c>
      <x:c r="B87" s="107" t="str">
        <x:v>Sobota</x:v>
      </x:c>
      <x:c r="C87" s="107" t="str">
        <x:v>Tydzień 12 (Baza 2 / siła)</x:v>
      </x:c>
      <x:c r="D87" s="107" t="str">
        <x:v>Siła rowerowa, stabilizacja, stopniowe T2</x:v>
      </x:c>
      <x:c r="E87" s="107" t="str">
        <x:v>Rower długi + Zakładka T2</x:v>
      </x:c>
      <x:c r="F87" s="107" t="str">
        <x:v>120 min Z2 z kontrolą kadencji + 4 km T2 easy. Paliwo 60-80 g węgli/h.</x:v>
      </x:c>
      <x:c r="G87" s="107" t="str">
        <x:v>LONG</x:v>
      </x:c>
      <x:c r="H87" s="107" t="str">
        <x:v>Rower + adaptacja T2</x:v>
      </x:c>
      <x:c r="I87" s="107" t="str">
        <x:v>3 h przed: sprawdzony posiłek węglowodanowy; bez nowych produktów.</x:v>
      </x:c>
      <x:c r="J87" s="107" t="str">
        <x:v>Po treningu: ryż/ziemniaki + białko + sól/elektrolity.</x:v>
      </x:c>
      <x:c r="K87" s="107" t="str">
        <x:v>Kolacja regeneracyjna: węgle + białko + warzywa; uzupełnij płyny.</x:v>
      </x:c>
      <x:c r="L87" s="107"/>
      <x:c r="M87" s="107"/>
      <x:c r="N87" s="107"/>
      <x:c r="O87" s="107"/>
      <x:c r="P87" s="107"/>
      <x:c r="Q87" s="107" t="str">
        <x:v>Jeśli ból narasta lub RPE &gt;7 przed połową: skróć, nie nadrabiaj kilometrów.</x:v>
      </x:c>
      <x:c r="V87" s="227"/>
      <x:c r="W87" s="228"/>
      <x:c r="X87" s="226"/>
      <x:c r="Y87" s="229"/>
      <x:c r="Z87" s="227"/>
      <x:c r="AA87" s="226" t="str">
        <x:f>IF(AND(L87="",M87="",N87="",Z87=""),"",IF(OR(M87&gt;=5,N87&lt;6,L87&gt;=8),"CZERWONY",IF(OR(M87&gt;=3,N87&lt;6.5,L87&gt;=7,Z87&lt;=4),"ŻÓŁTY","OK")))</x:f>
      </x:c>
      <x:c r="AB87" s="226" t="str">
        <x:f>IF(AA87="","",IF(AA87="OK","Realizuj plan normalnie.",IF(AA87="ŻÓŁTY","Skróć 10-30% albo zamień akcent na easy.", "STOP mocne bodźce: wolne/basen/Tacx Z1 48-72 h.")))</x:f>
      </x:c>
    </x:row>
    <x:row r="88">
      <x:c r="A88" s="113" t="n">
        <x:v>46362</x:v>
      </x:c>
      <x:c r="B88" s="107" t="str">
        <x:v>Niedziela</x:v>
      </x:c>
      <x:c r="C88" s="107" t="str">
        <x:v>Tydzień 12 (Baza 2 / siła)</x:v>
      </x:c>
      <x:c r="D88" s="107" t="str">
        <x:v>Siła rowerowa, stabilizacja, stopniowe T2</x:v>
      </x:c>
      <x:c r="E88" s="107" t="str">
        <x:v>Bieg easy dłuższy</x:v>
      </x:c>
      <x:c r="F88" s="107" t="str">
        <x:v>12-14 km easy 5:35-6:05/km. Bez tempa po sobotnim rowerze.</x:v>
      </x:c>
      <x:c r="G88" s="107" t="str">
        <x:v>ŁATWY</x:v>
      </x:c>
      <x:c r="H88" s="107" t="str">
        <x:v>Wytrzymałość</x:v>
      </x:c>
      <x:c r="I88" s="107" t="str">
        <x:v>Jajka lub jogurt/skyr + owoce; kawa spokojnie.</x:v>
      </x:c>
      <x:c r="J88" s="107" t="str">
        <x:v>Zupa/kasza/ryż + warzywa + białko; nawodnienie.</x:v>
      </x:c>
      <x:c r="K88" s="107" t="str">
        <x:v>Lekka kolacja: ryż/ziemniaki + ryba/tofu/jaja + warzywa.</x:v>
      </x:c>
      <x:c r="L88" s="107"/>
      <x:c r="M88" s="107"/>
      <x:c r="N88" s="107"/>
      <x:c r="O88" s="107"/>
      <x:c r="P88" s="107"/>
      <x:c r="Q88" s="107" t="str">
        <x:v>Jeśli nogi ciężkie: skróć o 20-30% i trzymaj Z1/Z2.</x:v>
      </x:c>
      <x:c r="V88" s="227"/>
      <x:c r="W88" s="228"/>
      <x:c r="X88" s="226"/>
      <x:c r="Y88" s="229"/>
      <x:c r="Z88" s="227"/>
      <x:c r="AA88" s="226" t="str">
        <x:f>IF(AND(L88="",M88="",N88="",Z88=""),"",IF(OR(M88&gt;=5,N88&lt;6,L88&gt;=8),"CZERWONY",IF(OR(M88&gt;=3,N88&lt;6.5,L88&gt;=7,Z88&lt;=4),"ŻÓŁTY","OK")))</x:f>
      </x:c>
      <x:c r="AB88" s="226" t="str">
        <x:f>IF(AA88="","",IF(AA88="OK","Realizuj plan normalnie.",IF(AA88="ŻÓŁTY","Skróć 10-30% albo zamień akcent na easy.", "STOP mocne bodźce: wolne/basen/Tacx Z1 48-72 h.")))</x:f>
      </x:c>
    </x:row>
    <x:row r="89">
      <x:c r="A89" s="77" t="n">
        <x:v>46363</x:v>
      </x:c>
      <x:c r="B89" s="78" t="str">
        <x:v>Poniedziałek</x:v>
      </x:c>
      <x:c r="C89" s="78" t="str">
        <x:v>Tydzień 13 (Baza 2 / siła)</x:v>
      </x:c>
      <x:c r="D89" s="78" t="str">
        <x:v>Siła rowerowa, stabilizacja, stopniowe T2</x:v>
      </x:c>
      <x:c r="E89" s="78" t="str">
        <x:v>BASEN technika</x:v>
      </x:c>
      <x:c r="F89" s="78" t="str">
        <x:v>1600-2200 m: technika + CSS intro 6-8x100 m w równym tempie, przerwa 15-20 s + schłodzenie.</x:v>
      </x:c>
      <x:c r="G89" s="78" t="str">
        <x:v>ŁATWY</x:v>
      </x:c>
      <x:c r="H89" s="78" t="str">
        <x:v>Progresja pływania/CSS</x:v>
      </x:c>
      <x:c r="I89" s="78" t="str">
        <x:v>Jajka lub jogurt/skyr + owoce; kawa spokojnie.</x:v>
      </x:c>
      <x:c r="J89" s="78" t="str">
        <x:v>Zupa/kasza/ryż + warzywa + białko; nawodnienie.</x:v>
      </x:c>
      <x:c r="K89" s="78" t="str">
        <x:v>Lekka kolacja: ryż/ziemniaki + ryba/tofu/jaja + warzywa.</x:v>
      </x:c>
      <x:c r="L89" s="78"/>
      <x:c r="M89" s="78"/>
      <x:c r="N89" s="78"/>
      <x:c r="O89" s="78"/>
      <x:c r="P89" s="78"/>
      <x:c r="Q89" s="78" t="str">
        <x:v>Jeśli technika się sypie: skróć odcinki, wydłuż przerwy, nie dokładaj metrów.</x:v>
      </x:c>
      <x:c r="V89" s="227"/>
      <x:c r="W89" s="228"/>
      <x:c r="X89" s="226"/>
      <x:c r="Y89" s="229"/>
      <x:c r="Z89" s="227"/>
      <x:c r="AA89" s="226" t="str">
        <x:f>IF(AND(L89="",M89="",N89="",Z89=""),"",IF(OR(M89&gt;=5,N89&lt;6,L89&gt;=8),"CZERWONY",IF(OR(M89&gt;=3,N89&lt;6.5,L89&gt;=7,Z89&lt;=4),"ŻÓŁTY","OK")))</x:f>
      </x:c>
      <x:c r="AB89" s="226" t="str">
        <x:f>IF(AA89="","",IF(AA89="OK","Realizuj plan normalnie.",IF(AA89="ŻÓŁTY","Skróć 10-30% albo zamień akcent na easy.", "STOP mocne bodźce: wolne/basen/Tacx Z1 48-72 h.")))</x:f>
      </x:c>
    </x:row>
    <x:row r="90">
      <x:c r="A90" s="113" t="n">
        <x:v>46364</x:v>
      </x:c>
      <x:c r="B90" s="107" t="str">
        <x:v>Wtorek</x:v>
      </x:c>
      <x:c r="C90" s="107" t="str">
        <x:v>Tydzień 13 (Baza 2 / siła)</x:v>
      </x:c>
      <x:c r="D90" s="107" t="str">
        <x:v>Siła rowerowa, stabilizacja, stopniowe T2</x:v>
      </x:c>
      <x:c r="E90" s="107" t="str">
        <x:v>Bieg easy/steady</x:v>
      </x:c>
      <x:c r="F90" s="107" t="str">
        <x:v>8-12 km easy, w środku 6x1 min żywiej albo 20 min steady. Bez interwałów na siłę.</x:v>
      </x:c>
      <x:c r="G90" s="107" t="str">
        <x:v>ŁATWY</x:v>
      </x:c>
      <x:c r="H90" s="107" t="str">
        <x:v>Baza biegowa</x:v>
      </x:c>
      <x:c r="I90" s="107" t="str">
        <x:v>Jajka lub jogurt/skyr + owoce; kawa spokojnie.</x:v>
      </x:c>
      <x:c r="J90" s="107" t="str">
        <x:v>Zupa/kasza/ryż + warzywa + białko; nawodnienie.</x:v>
      </x:c>
      <x:c r="K90" s="107" t="str">
        <x:v>Lekka kolacja: ryż/ziemniaki + ryba/tofu/jaja + warzywa.</x:v>
      </x:c>
      <x:c r="L90" s="107"/>
      <x:c r="M90" s="107"/>
      <x:c r="N90" s="107"/>
      <x:c r="O90" s="107"/>
      <x:c r="P90" s="107"/>
      <x:c r="Q90" s="107" t="str">
        <x:v>Jeśli nogi ciężkie: skróć o 20-30% i trzymaj Z1/Z2.</x:v>
      </x:c>
      <x:c r="V90" s="227"/>
      <x:c r="W90" s="228"/>
      <x:c r="X90" s="226"/>
      <x:c r="Y90" s="229"/>
      <x:c r="Z90" s="227"/>
      <x:c r="AA90" s="226" t="str">
        <x:f>IF(AND(L90="",M90="",N90="",Z90=""),"",IF(OR(M90&gt;=5,N90&lt;6,L90&gt;=8),"CZERWONY",IF(OR(M90&gt;=3,N90&lt;6.5,L90&gt;=7,Z90&lt;=4),"ŻÓŁTY","OK")))</x:f>
      </x:c>
      <x:c r="AB90" s="226" t="str">
        <x:f>IF(AA90="","",IF(AA90="OK","Realizuj plan normalnie.",IF(AA90="ŻÓŁTY","Skróć 10-30% albo zamień akcent na easy.", "STOP mocne bodźce: wolne/basen/Tacx Z1 48-72 h.")))</x:f>
      </x:c>
    </x:row>
    <x:row r="91">
      <x:c r="A91" s="53" t="n">
        <x:v>46365</x:v>
      </x:c>
      <x:c r="B91" s="54" t="str">
        <x:v>Środa</x:v>
      </x:c>
      <x:c r="C91" s="54" t="str">
        <x:v>Tydzień 13 (Baza 2 / siła)</x:v>
      </x:c>
      <x:c r="D91" s="54" t="str">
        <x:v>Siła rowerowa, stabilizacja, stopniowe T2</x:v>
      </x:c>
      <x:c r="E91" s="54" t="str">
        <x:v>Tacx siła niska kadencja</x:v>
      </x:c>
      <x:c r="F91" s="54" t="str">
        <x:v>75-90 min: 4-6x5 min 80-88% FTP, kadencja 65-75 rpm, pełna kontrola kolan.</x:v>
      </x:c>
      <x:c r="G91" s="54" t="str">
        <x:v>MOCNY</x:v>
      </x:c>
      <x:c r="H91" s="54" t="str">
        <x:v>Siła rowerowa</x:v>
      </x:c>
      <x:c r="I91" s="54" t="str">
        <x:v>2-3 h przed: kleik/ryż/wafle + miód/dżem; mało tłuszczu i błonnika.</x:v>
      </x:c>
      <x:c r="J91" s="54" t="str">
        <x:v>Ryż/ziemniaki/kasza + lekkie białko + warzywa.</x:v>
      </x:c>
      <x:c r="K91" s="54" t="str">
        <x:v>Po: 20-35 g białka + węgle; elektrolity.</x:v>
      </x:c>
      <x:c r="L91" s="54"/>
      <x:c r="M91" s="54"/>
      <x:c r="N91" s="54"/>
      <x:c r="O91" s="54"/>
      <x:c r="P91" s="54"/>
      <x:c r="Q91" s="54" t="str">
        <x:v>Jeśli ból ≥3/10 lub sen &lt;6 h: zamień na easy 30-45 min albo basen.</x:v>
      </x:c>
      <x:c r="V91" s="227"/>
      <x:c r="W91" s="228"/>
      <x:c r="X91" s="226"/>
      <x:c r="Y91" s="229"/>
      <x:c r="Z91" s="227"/>
      <x:c r="AA91" s="226" t="str">
        <x:f>IF(AND(L91="",M91="",N91="",Z91=""),"",IF(OR(M91&gt;=5,N91&lt;6,L91&gt;=8),"CZERWONY",IF(OR(M91&gt;=3,N91&lt;6.5,L91&gt;=7,Z91&lt;=4),"ŻÓŁTY","OK")))</x:f>
      </x:c>
      <x:c r="AB91" s="226" t="str">
        <x:f>IF(AA91="","",IF(AA91="OK","Realizuj plan normalnie.",IF(AA91="ŻÓŁTY","Skróć 10-30% albo zamień akcent na easy.", "STOP mocne bodźce: wolne/basen/Tacx Z1 48-72 h.")))</x:f>
      </x:c>
    </x:row>
    <x:row r="92">
      <x:c r="A92" s="77" t="n">
        <x:v>46366</x:v>
      </x:c>
      <x:c r="B92" s="78" t="str">
        <x:v>Czwartek</x:v>
      </x:c>
      <x:c r="C92" s="78" t="str">
        <x:v>Tydzień 13 (Baza 2 / siła)</x:v>
      </x:c>
      <x:c r="D92" s="78" t="str">
        <x:v>Siła rowerowa, stabilizacja, stopniowe T2</x:v>
      </x:c>
      <x:c r="E92" s="78" t="str">
        <x:v>Bieg easy + BASEN</x:v>
      </x:c>
      <x:c r="F92" s="78" t="str">
        <x:v>RANO: 6-10 km easy + mobility. WIECZÓR: 1600-2200 m: technika + CSS intro 6-8x100 m w równym tempie, przerwa 15-20 s + schłodzenie.</x:v>
      </x:c>
      <x:c r="G92" s="78" t="str">
        <x:v>ŁATWY</x:v>
      </x:c>
      <x:c r="H92" s="78" t="str">
        <x:v>Progresja pływania/CSS</x:v>
      </x:c>
      <x:c r="I92" s="78" t="str">
        <x:v>Jajka lub jogurt/skyr + owoce; kawa spokojnie.</x:v>
      </x:c>
      <x:c r="J92" s="78" t="str">
        <x:v>Zupa/kasza/ryż + warzywa + białko; nawodnienie.</x:v>
      </x:c>
      <x:c r="K92" s="78" t="str">
        <x:v>Lekka kolacja: ryż/ziemniaki + ryba/tofu/jaja + warzywa.</x:v>
      </x:c>
      <x:c r="L92" s="78"/>
      <x:c r="M92" s="78"/>
      <x:c r="N92" s="78"/>
      <x:c r="O92" s="78"/>
      <x:c r="P92" s="78"/>
      <x:c r="Q92" s="78" t="str">
        <x:v>Jeśli technika się sypie: skróć odcinki, wydłuż przerwy, nie dokładaj metrów.</x:v>
      </x:c>
      <x:c r="V92" s="227"/>
      <x:c r="W92" s="228"/>
      <x:c r="X92" s="226"/>
      <x:c r="Y92" s="229"/>
      <x:c r="Z92" s="227"/>
      <x:c r="AA92" s="226" t="str">
        <x:f>IF(AND(L92="",M92="",N92="",Z92=""),"",IF(OR(M92&gt;=5,N92&lt;6,L92&gt;=8),"CZERWONY",IF(OR(M92&gt;=3,N92&lt;6.5,L92&gt;=7,Z92&lt;=4),"ŻÓŁTY","OK")))</x:f>
      </x:c>
      <x:c r="AB92" s="226" t="str">
        <x:f>IF(AA92="","",IF(AA92="OK","Realizuj plan normalnie.",IF(AA92="ŻÓŁTY","Skróć 10-30% albo zamień akcent na easy.", "STOP mocne bodźce: wolne/basen/Tacx Z1 48-72 h.")))</x:f>
      </x:c>
    </x:row>
    <x:row r="93">
      <x:c r="A93" s="71" t="n">
        <x:v>46367</x:v>
      </x:c>
      <x:c r="B93" s="72" t="str">
        <x:v>Piątek</x:v>
      </x:c>
      <x:c r="C93" s="72" t="str">
        <x:v>Tydzień 13 (Baza 2 / siła)</x:v>
      </x:c>
      <x:c r="D93" s="72" t="str">
        <x:v>Siła rowerowa, stabilizacja, stopniowe T2</x:v>
      </x:c>
      <x:c r="E93" s="72" t="str">
        <x:v>WOLNE</x:v>
      </x:c>
      <x:c r="F93" s="72" t="str">
        <x:v>Pełna regeneracja. Zero nadrabiania. Sprawdź sen, RPE i ból.</x:v>
      </x:c>
      <x:c r="G93" s="72" t="str">
        <x:v>WOLNE</x:v>
      </x:c>
      <x:c r="H93" s="72" t="str">
        <x:v>Adaptacja</x:v>
      </x:c>
      <x:c r="I93" s="72" t="str">
        <x:v>Normalne śniadanie, bez wymuszonego ładowania.</x:v>
      </x:c>
      <x:c r="J93" s="72" t="str">
        <x:v>Warzywa + białko + spokojna porcja węgli.</x:v>
      </x:c>
      <x:c r="K93" s="72" t="str">
        <x:v>Lekko, prosto, sen ważniejszy niż idealne makro.</x:v>
      </x:c>
      <x:c r="L93" s="72"/>
      <x:c r="M93" s="72"/>
      <x:c r="N93" s="72"/>
      <x:c r="O93" s="72"/>
      <x:c r="P93" s="72"/>
      <x:c r="Q93" s="72" t="str">
        <x:v>Nie nadrabiaj zaległości. Regeneracja jest częścią planu.</x:v>
      </x:c>
      <x:c r="V93" s="227"/>
      <x:c r="W93" s="228"/>
      <x:c r="X93" s="226"/>
      <x:c r="Y93" s="229"/>
      <x:c r="Z93" s="227"/>
      <x:c r="AA93" s="226" t="str">
        <x:f>IF(AND(L93="",M93="",N93="",Z93=""),"",IF(OR(M93&gt;=5,N93&lt;6,L93&gt;=8),"CZERWONY",IF(OR(M93&gt;=3,N93&lt;6.5,L93&gt;=7,Z93&lt;=4),"ŻÓŁTY","OK")))</x:f>
      </x:c>
      <x:c r="AB93" s="226" t="str">
        <x:f>IF(AA93="","",IF(AA93="OK","Realizuj plan normalnie.",IF(AA93="ŻÓŁTY","Skróć 10-30% albo zamień akcent na easy.", "STOP mocne bodźce: wolne/basen/Tacx Z1 48-72 h.")))</x:f>
      </x:c>
    </x:row>
    <x:row r="94">
      <x:c r="A94" s="113" t="n">
        <x:v>46368</x:v>
      </x:c>
      <x:c r="B94" s="107" t="str">
        <x:v>Sobota</x:v>
      </x:c>
      <x:c r="C94" s="107" t="str">
        <x:v>Tydzień 13 (Baza 2 / siła)</x:v>
      </x:c>
      <x:c r="D94" s="107" t="str">
        <x:v>Siła rowerowa, stabilizacja, stopniowe T2</x:v>
      </x:c>
      <x:c r="E94" s="107" t="str">
        <x:v>Rower długi + Zakładka T2</x:v>
      </x:c>
      <x:c r="F94" s="107" t="str">
        <x:v>150 min Z2 z kontrolą kadencji + 5 km T2 easy. Paliwo 60-80 g węgli/h.</x:v>
      </x:c>
      <x:c r="G94" s="107" t="str">
        <x:v>LONG</x:v>
      </x:c>
      <x:c r="H94" s="107" t="str">
        <x:v>Rower + adaptacja T2</x:v>
      </x:c>
      <x:c r="I94" s="107" t="str">
        <x:v>3 h przed: sprawdzony posiłek węglowodanowy; bez nowych produktów.</x:v>
      </x:c>
      <x:c r="J94" s="107" t="str">
        <x:v>Po treningu: ryż/ziemniaki + białko + sól/elektrolity.</x:v>
      </x:c>
      <x:c r="K94" s="107" t="str">
        <x:v>Kolacja regeneracyjna: węgle + białko + warzywa; uzupełnij płyny.</x:v>
      </x:c>
      <x:c r="L94" s="107"/>
      <x:c r="M94" s="107"/>
      <x:c r="N94" s="107"/>
      <x:c r="O94" s="107"/>
      <x:c r="P94" s="107"/>
      <x:c r="Q94" s="107" t="str">
        <x:v>Jeśli ból narasta lub RPE &gt;7 przed połową: skróć, nie nadrabiaj kilometrów.</x:v>
      </x:c>
      <x:c r="V94" s="227"/>
      <x:c r="W94" s="228"/>
      <x:c r="X94" s="226"/>
      <x:c r="Y94" s="229"/>
      <x:c r="Z94" s="227"/>
      <x:c r="AA94" s="226" t="str">
        <x:f>IF(AND(L94="",M94="",N94="",Z94=""),"",IF(OR(M94&gt;=5,N94&lt;6,L94&gt;=8),"CZERWONY",IF(OR(M94&gt;=3,N94&lt;6.5,L94&gt;=7,Z94&lt;=4),"ŻÓŁTY","OK")))</x:f>
      </x:c>
      <x:c r="AB94" s="226" t="str">
        <x:f>IF(AA94="","",IF(AA94="OK","Realizuj plan normalnie.",IF(AA94="ŻÓŁTY","Skróć 10-30% albo zamień akcent na easy.", "STOP mocne bodźce: wolne/basen/Tacx Z1 48-72 h.")))</x:f>
      </x:c>
    </x:row>
    <x:row r="95">
      <x:c r="A95" s="113" t="n">
        <x:v>46369</x:v>
      </x:c>
      <x:c r="B95" s="107" t="str">
        <x:v>Niedziela</x:v>
      </x:c>
      <x:c r="C95" s="107" t="str">
        <x:v>Tydzień 13 (Baza 2 / siła)</x:v>
      </x:c>
      <x:c r="D95" s="107" t="str">
        <x:v>Siła rowerowa, stabilizacja, stopniowe T2</x:v>
      </x:c>
      <x:c r="E95" s="107" t="str">
        <x:v>Bieg easy dłuższy</x:v>
      </x:c>
      <x:c r="F95" s="107" t="str">
        <x:v>12-14 km easy 5:35-6:05/km. Bez tempa po sobotnim rowerze.</x:v>
      </x:c>
      <x:c r="G95" s="107" t="str">
        <x:v>ŁATWY</x:v>
      </x:c>
      <x:c r="H95" s="107" t="str">
        <x:v>Wytrzymałość</x:v>
      </x:c>
      <x:c r="I95" s="107" t="str">
        <x:v>Jajka lub jogurt/skyr + owoce; kawa spokojnie.</x:v>
      </x:c>
      <x:c r="J95" s="107" t="str">
        <x:v>Zupa/kasza/ryż + warzywa + białko; nawodnienie.</x:v>
      </x:c>
      <x:c r="K95" s="107" t="str">
        <x:v>Lekka kolacja: ryż/ziemniaki + ryba/tofu/jaja + warzywa.</x:v>
      </x:c>
      <x:c r="L95" s="107"/>
      <x:c r="M95" s="107"/>
      <x:c r="N95" s="107"/>
      <x:c r="O95" s="107"/>
      <x:c r="P95" s="107"/>
      <x:c r="Q95" s="107" t="str">
        <x:v>Jeśli nogi ciężkie: skróć o 20-30% i trzymaj Z1/Z2.</x:v>
      </x:c>
      <x:c r="V95" s="227"/>
      <x:c r="W95" s="228"/>
      <x:c r="X95" s="226"/>
      <x:c r="Y95" s="229"/>
      <x:c r="Z95" s="227"/>
      <x:c r="AA95" s="226" t="str">
        <x:f>IF(AND(L95="",M95="",N95="",Z95=""),"",IF(OR(M95&gt;=5,N95&lt;6,L95&gt;=8),"CZERWONY",IF(OR(M95&gt;=3,N95&lt;6.5,L95&gt;=7,Z95&lt;=4),"ŻÓŁTY","OK")))</x:f>
      </x:c>
      <x:c r="AB95" s="226" t="str">
        <x:f>IF(AA95="","",IF(AA95="OK","Realizuj plan normalnie.",IF(AA95="ŻÓŁTY","Skróć 10-30% albo zamień akcent na easy.", "STOP mocne bodźce: wolne/basen/Tacx Z1 48-72 h.")))</x:f>
      </x:c>
    </x:row>
    <x:row r="96">
      <x:c r="A96" s="77" t="n">
        <x:v>46370</x:v>
      </x:c>
      <x:c r="B96" s="78" t="str">
        <x:v>Poniedziałek</x:v>
      </x:c>
      <x:c r="C96" s="78" t="str">
        <x:v>Tydzień 14 (Baza 2 / siła)</x:v>
      </x:c>
      <x:c r="D96" s="78" t="str">
        <x:v>Siła rowerowa, stabilizacja, stopniowe T2</x:v>
      </x:c>
      <x:c r="E96" s="78" t="str">
        <x:v>BASEN technika</x:v>
      </x:c>
      <x:c r="F96" s="78" t="str">
        <x:v>1600-2200 m: technika + CSS intro 6-8x100 m w równym tempie, przerwa 15-20 s + schłodzenie.</x:v>
      </x:c>
      <x:c r="G96" s="78" t="str">
        <x:v>ŁATWY</x:v>
      </x:c>
      <x:c r="H96" s="78" t="str">
        <x:v>Progresja pływania/CSS</x:v>
      </x:c>
      <x:c r="I96" s="78" t="str">
        <x:v>Jajka lub jogurt/skyr + owoce; kawa spokojnie.</x:v>
      </x:c>
      <x:c r="J96" s="78" t="str">
        <x:v>Zupa/kasza/ryż + warzywa + białko; nawodnienie.</x:v>
      </x:c>
      <x:c r="K96" s="78" t="str">
        <x:v>Lekka kolacja: ryż/ziemniaki + ryba/tofu/jaja + warzywa.</x:v>
      </x:c>
      <x:c r="L96" s="78"/>
      <x:c r="M96" s="78"/>
      <x:c r="N96" s="78"/>
      <x:c r="O96" s="78"/>
      <x:c r="P96" s="78"/>
      <x:c r="Q96" s="78" t="str">
        <x:v>Jeśli technika się sypie: skróć odcinki, wydłuż przerwy, nie dokładaj metrów.</x:v>
      </x:c>
      <x:c r="V96" s="227"/>
      <x:c r="W96" s="228"/>
      <x:c r="X96" s="226"/>
      <x:c r="Y96" s="229"/>
      <x:c r="Z96" s="227"/>
      <x:c r="AA96" s="226" t="str">
        <x:f>IF(AND(L96="",M96="",N96="",Z96=""),"",IF(OR(M96&gt;=5,N96&lt;6,L96&gt;=8),"CZERWONY",IF(OR(M96&gt;=3,N96&lt;6.5,L96&gt;=7,Z96&lt;=4),"ŻÓŁTY","OK")))</x:f>
      </x:c>
      <x:c r="AB96" s="226" t="str">
        <x:f>IF(AA96="","",IF(AA96="OK","Realizuj plan normalnie.",IF(AA96="ŻÓŁTY","Skróć 10-30% albo zamień akcent na easy.", "STOP mocne bodźce: wolne/basen/Tacx Z1 48-72 h.")))</x:f>
      </x:c>
    </x:row>
    <x:row r="97">
      <x:c r="A97" s="113" t="n">
        <x:v>46371</x:v>
      </x:c>
      <x:c r="B97" s="107" t="str">
        <x:v>Wtorek</x:v>
      </x:c>
      <x:c r="C97" s="107" t="str">
        <x:v>Tydzień 14 (Baza 2 / siła)</x:v>
      </x:c>
      <x:c r="D97" s="107" t="str">
        <x:v>Siła rowerowa, stabilizacja, stopniowe T2</x:v>
      </x:c>
      <x:c r="E97" s="107" t="str">
        <x:v>Bieg easy/steady</x:v>
      </x:c>
      <x:c r="F97" s="107" t="str">
        <x:v>8-12 km easy, w środku 6x1 min żywiej albo 20 min steady. Bez interwałów na siłę.</x:v>
      </x:c>
      <x:c r="G97" s="107" t="str">
        <x:v>ŁATWY</x:v>
      </x:c>
      <x:c r="H97" s="107" t="str">
        <x:v>Baza biegowa</x:v>
      </x:c>
      <x:c r="I97" s="107" t="str">
        <x:v>Jajka lub jogurt/skyr + owoce; kawa spokojnie.</x:v>
      </x:c>
      <x:c r="J97" s="107" t="str">
        <x:v>Zupa/kasza/ryż + warzywa + białko; nawodnienie.</x:v>
      </x:c>
      <x:c r="K97" s="107" t="str">
        <x:v>Lekka kolacja: ryż/ziemniaki + ryba/tofu/jaja + warzywa.</x:v>
      </x:c>
      <x:c r="L97" s="107"/>
      <x:c r="M97" s="107"/>
      <x:c r="N97" s="107"/>
      <x:c r="O97" s="107"/>
      <x:c r="P97" s="107"/>
      <x:c r="Q97" s="107" t="str">
        <x:v>Jeśli nogi ciężkie: skróć o 20-30% i trzymaj Z1/Z2.</x:v>
      </x:c>
      <x:c r="V97" s="227"/>
      <x:c r="W97" s="228"/>
      <x:c r="X97" s="226"/>
      <x:c r="Y97" s="229"/>
      <x:c r="Z97" s="227"/>
      <x:c r="AA97" s="226" t="str">
        <x:f>IF(AND(L97="",M97="",N97="",Z97=""),"",IF(OR(M97&gt;=5,N97&lt;6,L97&gt;=8),"CZERWONY",IF(OR(M97&gt;=3,N97&lt;6.5,L97&gt;=7,Z97&lt;=4),"ŻÓŁTY","OK")))</x:f>
      </x:c>
      <x:c r="AB97" s="226" t="str">
        <x:f>IF(AA97="","",IF(AA97="OK","Realizuj plan normalnie.",IF(AA97="ŻÓŁTY","Skróć 10-30% albo zamień akcent na easy.", "STOP mocne bodźce: wolne/basen/Tacx Z1 48-72 h.")))</x:f>
      </x:c>
    </x:row>
    <x:row r="98">
      <x:c r="A98" s="53" t="n">
        <x:v>46372</x:v>
      </x:c>
      <x:c r="B98" s="54" t="str">
        <x:v>Środa</x:v>
      </x:c>
      <x:c r="C98" s="54" t="str">
        <x:v>Tydzień 14 (Baza 2 / siła)</x:v>
      </x:c>
      <x:c r="D98" s="54" t="str">
        <x:v>Siła rowerowa, stabilizacja, stopniowe T2</x:v>
      </x:c>
      <x:c r="E98" s="54" t="str">
        <x:v>Tacx siła niska kadencja</x:v>
      </x:c>
      <x:c r="F98" s="54" t="str">
        <x:v>75-90 min: 4-6x5 min 80-88% FTP, kadencja 65-75 rpm, pełna kontrola kolan.</x:v>
      </x:c>
      <x:c r="G98" s="54" t="str">
        <x:v>MOCNY</x:v>
      </x:c>
      <x:c r="H98" s="54" t="str">
        <x:v>Siła rowerowa</x:v>
      </x:c>
      <x:c r="I98" s="54" t="str">
        <x:v>2-3 h przed: kleik/ryż/wafle + miód/dżem; mało tłuszczu i błonnika.</x:v>
      </x:c>
      <x:c r="J98" s="54" t="str">
        <x:v>Ryż/ziemniaki/kasza + lekkie białko + warzywa.</x:v>
      </x:c>
      <x:c r="K98" s="54" t="str">
        <x:v>Po: 20-35 g białka + węgle; elektrolity.</x:v>
      </x:c>
      <x:c r="L98" s="54"/>
      <x:c r="M98" s="54"/>
      <x:c r="N98" s="54"/>
      <x:c r="O98" s="54"/>
      <x:c r="P98" s="54"/>
      <x:c r="Q98" s="54" t="str">
        <x:v>Jeśli ból ≥3/10 lub sen &lt;6 h: zamień na easy 30-45 min albo basen.</x:v>
      </x:c>
      <x:c r="V98" s="227"/>
      <x:c r="W98" s="228"/>
      <x:c r="X98" s="226"/>
      <x:c r="Y98" s="229"/>
      <x:c r="Z98" s="227"/>
      <x:c r="AA98" s="226" t="str">
        <x:f>IF(AND(L98="",M98="",N98="",Z98=""),"",IF(OR(M98&gt;=5,N98&lt;6,L98&gt;=8),"CZERWONY",IF(OR(M98&gt;=3,N98&lt;6.5,L98&gt;=7,Z98&lt;=4),"ŻÓŁTY","OK")))</x:f>
      </x:c>
      <x:c r="AB98" s="226" t="str">
        <x:f>IF(AA98="","",IF(AA98="OK","Realizuj plan normalnie.",IF(AA98="ŻÓŁTY","Skróć 10-30% albo zamień akcent na easy.", "STOP mocne bodźce: wolne/basen/Tacx Z1 48-72 h.")))</x:f>
      </x:c>
    </x:row>
    <x:row r="99">
      <x:c r="A99" s="77" t="n">
        <x:v>46373</x:v>
      </x:c>
      <x:c r="B99" s="78" t="str">
        <x:v>Czwartek</x:v>
      </x:c>
      <x:c r="C99" s="78" t="str">
        <x:v>Tydzień 14 (Baza 2 / siła)</x:v>
      </x:c>
      <x:c r="D99" s="78" t="str">
        <x:v>Siła rowerowa, stabilizacja, stopniowe T2</x:v>
      </x:c>
      <x:c r="E99" s="78" t="str">
        <x:v>Bieg easy + BASEN</x:v>
      </x:c>
      <x:c r="F99" s="78" t="str">
        <x:v>RANO: 6-10 km easy + mobility. WIECZÓR: 1600-2200 m: technika + CSS intro 6-8x100 m w równym tempie, przerwa 15-20 s + schłodzenie.</x:v>
      </x:c>
      <x:c r="G99" s="78" t="str">
        <x:v>ŁATWY</x:v>
      </x:c>
      <x:c r="H99" s="78" t="str">
        <x:v>Progresja pływania/CSS</x:v>
      </x:c>
      <x:c r="I99" s="78" t="str">
        <x:v>Jajka lub jogurt/skyr + owoce; kawa spokojnie.</x:v>
      </x:c>
      <x:c r="J99" s="78" t="str">
        <x:v>Zupa/kasza/ryż + warzywa + białko; nawodnienie.</x:v>
      </x:c>
      <x:c r="K99" s="78" t="str">
        <x:v>Lekka kolacja: ryż/ziemniaki + ryba/tofu/jaja + warzywa.</x:v>
      </x:c>
      <x:c r="L99" s="78"/>
      <x:c r="M99" s="78"/>
      <x:c r="N99" s="78"/>
      <x:c r="O99" s="78"/>
      <x:c r="P99" s="78"/>
      <x:c r="Q99" s="78" t="str">
        <x:v>Jeśli technika się sypie: skróć odcinki, wydłuż przerwy, nie dokładaj metrów.</x:v>
      </x:c>
      <x:c r="V99" s="227"/>
      <x:c r="W99" s="228"/>
      <x:c r="X99" s="226"/>
      <x:c r="Y99" s="229"/>
      <x:c r="Z99" s="227"/>
      <x:c r="AA99" s="226" t="str">
        <x:f>IF(AND(L99="",M99="",N99="",Z99=""),"",IF(OR(M99&gt;=5,N99&lt;6,L99&gt;=8),"CZERWONY",IF(OR(M99&gt;=3,N99&lt;6.5,L99&gt;=7,Z99&lt;=4),"ŻÓŁTY","OK")))</x:f>
      </x:c>
      <x:c r="AB99" s="226" t="str">
        <x:f>IF(AA99="","",IF(AA99="OK","Realizuj plan normalnie.",IF(AA99="ŻÓŁTY","Skróć 10-30% albo zamień akcent na easy.", "STOP mocne bodźce: wolne/basen/Tacx Z1 48-72 h.")))</x:f>
      </x:c>
    </x:row>
    <x:row r="100">
      <x:c r="A100" s="71" t="n">
        <x:v>46374</x:v>
      </x:c>
      <x:c r="B100" s="72" t="str">
        <x:v>Piątek</x:v>
      </x:c>
      <x:c r="C100" s="72" t="str">
        <x:v>Tydzień 14 (Baza 2 / siła)</x:v>
      </x:c>
      <x:c r="D100" s="72" t="str">
        <x:v>Siła rowerowa, stabilizacja, stopniowe T2</x:v>
      </x:c>
      <x:c r="E100" s="72" t="str">
        <x:v>WOLNE</x:v>
      </x:c>
      <x:c r="F100" s="72" t="str">
        <x:v>Pełna regeneracja. Zero nadrabiania. Sprawdź sen, RPE i ból.</x:v>
      </x:c>
      <x:c r="G100" s="72" t="str">
        <x:v>WOLNE</x:v>
      </x:c>
      <x:c r="H100" s="72" t="str">
        <x:v>Adaptacja</x:v>
      </x:c>
      <x:c r="I100" s="72" t="str">
        <x:v>Normalne śniadanie, bez wymuszonego ładowania.</x:v>
      </x:c>
      <x:c r="J100" s="72" t="str">
        <x:v>Warzywa + białko + spokojna porcja węgli.</x:v>
      </x:c>
      <x:c r="K100" s="72" t="str">
        <x:v>Lekko, prosto, sen ważniejszy niż idealne makro.</x:v>
      </x:c>
      <x:c r="L100" s="72"/>
      <x:c r="M100" s="72"/>
      <x:c r="N100" s="72"/>
      <x:c r="O100" s="72"/>
      <x:c r="P100" s="72"/>
      <x:c r="Q100" s="72" t="str">
        <x:v>Nie nadrabiaj zaległości. Regeneracja jest częścią planu.</x:v>
      </x:c>
      <x:c r="V100" s="227"/>
      <x:c r="W100" s="228"/>
      <x:c r="X100" s="226"/>
      <x:c r="Y100" s="229"/>
      <x:c r="Z100" s="227"/>
      <x:c r="AA100" s="226" t="str">
        <x:f>IF(AND(L100="",M100="",N100="",Z100=""),"",IF(OR(M100&gt;=5,N100&lt;6,L100&gt;=8),"CZERWONY",IF(OR(M100&gt;=3,N100&lt;6.5,L100&gt;=7,Z100&lt;=4),"ŻÓŁTY","OK")))</x:f>
      </x:c>
      <x:c r="AB100" s="226" t="str">
        <x:f>IF(AA100="","",IF(AA100="OK","Realizuj plan normalnie.",IF(AA100="ŻÓŁTY","Skróć 10-30% albo zamień akcent na easy.", "STOP mocne bodźce: wolne/basen/Tacx Z1 48-72 h.")))</x:f>
      </x:c>
    </x:row>
    <x:row r="101">
      <x:c r="A101" s="113" t="n">
        <x:v>46375</x:v>
      </x:c>
      <x:c r="B101" s="107" t="str">
        <x:v>Sobota</x:v>
      </x:c>
      <x:c r="C101" s="107" t="str">
        <x:v>Tydzień 14 (Baza 2 / siła)</x:v>
      </x:c>
      <x:c r="D101" s="107" t="str">
        <x:v>Siła rowerowa, stabilizacja, stopniowe T2</x:v>
      </x:c>
      <x:c r="E101" s="107" t="str">
        <x:v>Rower długi + Zakładka T2</x:v>
      </x:c>
      <x:c r="F101" s="107" t="str">
        <x:v>180 min Z2 z kontrolą kadencji + 6 km T2 easy. Paliwo 60-80 g węgli/h.</x:v>
      </x:c>
      <x:c r="G101" s="107" t="str">
        <x:v>LONG</x:v>
      </x:c>
      <x:c r="H101" s="107" t="str">
        <x:v>Rower + adaptacja T2</x:v>
      </x:c>
      <x:c r="I101" s="107" t="str">
        <x:v>3 h przed: sprawdzony posiłek węglowodanowy; bez nowych produktów.</x:v>
      </x:c>
      <x:c r="J101" s="107" t="str">
        <x:v>Po treningu: ryż/ziemniaki + białko + sól/elektrolity.</x:v>
      </x:c>
      <x:c r="K101" s="107" t="str">
        <x:v>Kolacja regeneracyjna: węgle + białko + warzywa; uzupełnij płyny.</x:v>
      </x:c>
      <x:c r="L101" s="107"/>
      <x:c r="M101" s="107"/>
      <x:c r="N101" s="107"/>
      <x:c r="O101" s="107"/>
      <x:c r="P101" s="107"/>
      <x:c r="Q101" s="107" t="str">
        <x:v>Jeśli ból narasta lub RPE &gt;7 przed połową: skróć, nie nadrabiaj kilometrów.</x:v>
      </x:c>
      <x:c r="V101" s="227"/>
      <x:c r="W101" s="228"/>
      <x:c r="X101" s="226"/>
      <x:c r="Y101" s="229"/>
      <x:c r="Z101" s="227"/>
      <x:c r="AA101" s="226" t="str">
        <x:f>IF(AND(L101="",M101="",N101="",Z101=""),"",IF(OR(M101&gt;=5,N101&lt;6,L101&gt;=8),"CZERWONY",IF(OR(M101&gt;=3,N101&lt;6.5,L101&gt;=7,Z101&lt;=4),"ŻÓŁTY","OK")))</x:f>
      </x:c>
      <x:c r="AB101" s="226" t="str">
        <x:f>IF(AA101="","",IF(AA101="OK","Realizuj plan normalnie.",IF(AA101="ŻÓŁTY","Skróć 10-30% albo zamień akcent na easy.", "STOP mocne bodźce: wolne/basen/Tacx Z1 48-72 h.")))</x:f>
      </x:c>
    </x:row>
    <x:row r="102">
      <x:c r="A102" s="113" t="n">
        <x:v>46376</x:v>
      </x:c>
      <x:c r="B102" s="107" t="str">
        <x:v>Niedziela</x:v>
      </x:c>
      <x:c r="C102" s="107" t="str">
        <x:v>Tydzień 14 (Baza 2 / siła)</x:v>
      </x:c>
      <x:c r="D102" s="107" t="str">
        <x:v>Siła rowerowa, stabilizacja, stopniowe T2</x:v>
      </x:c>
      <x:c r="E102" s="107" t="str">
        <x:v>Bieg easy dłuższy</x:v>
      </x:c>
      <x:c r="F102" s="107" t="str">
        <x:v>14-16 km easy 5:35-6:05/km. Bez tempa po sobotnim rowerze.</x:v>
      </x:c>
      <x:c r="G102" s="107" t="str">
        <x:v>ŁATWY</x:v>
      </x:c>
      <x:c r="H102" s="107" t="str">
        <x:v>Wytrzymałość</x:v>
      </x:c>
      <x:c r="I102" s="107" t="str">
        <x:v>Jajka lub jogurt/skyr + owoce; kawa spokojnie.</x:v>
      </x:c>
      <x:c r="J102" s="107" t="str">
        <x:v>Zupa/kasza/ryż + warzywa + białko; nawodnienie.</x:v>
      </x:c>
      <x:c r="K102" s="107" t="str">
        <x:v>Lekka kolacja: ryż/ziemniaki + ryba/tofu/jaja + warzywa.</x:v>
      </x:c>
      <x:c r="L102" s="107"/>
      <x:c r="M102" s="107"/>
      <x:c r="N102" s="107"/>
      <x:c r="O102" s="107"/>
      <x:c r="P102" s="107"/>
      <x:c r="Q102" s="107" t="str">
        <x:v>Jeśli nogi ciężkie: skróć o 20-30% i trzymaj Z1/Z2.</x:v>
      </x:c>
      <x:c r="V102" s="227"/>
      <x:c r="W102" s="228"/>
      <x:c r="X102" s="226"/>
      <x:c r="Y102" s="229"/>
      <x:c r="Z102" s="227"/>
      <x:c r="AA102" s="226" t="str">
        <x:f>IF(AND(L102="",M102="",N102="",Z102=""),"",IF(OR(M102&gt;=5,N102&lt;6,L102&gt;=8),"CZERWONY",IF(OR(M102&gt;=3,N102&lt;6.5,L102&gt;=7,Z102&lt;=4),"ŻÓŁTY","OK")))</x:f>
      </x:c>
      <x:c r="AB102" s="226" t="str">
        <x:f>IF(AA102="","",IF(AA102="OK","Realizuj plan normalnie.",IF(AA102="ŻÓŁTY","Skróć 10-30% albo zamień akcent na easy.", "STOP mocne bodźce: wolne/basen/Tacx Z1 48-72 h.")))</x:f>
      </x:c>
    </x:row>
    <x:row r="103">
      <x:c r="A103" s="77" t="n">
        <x:v>46377</x:v>
      </x:c>
      <x:c r="B103" s="78" t="str">
        <x:v>Poniedziałek</x:v>
      </x:c>
      <x:c r="C103" s="78" t="str">
        <x:v>Tydzień 15 (Baza 2 / siła)</x:v>
      </x:c>
      <x:c r="D103" s="78" t="str">
        <x:v>Siła rowerowa, stabilizacja, stopniowe T2</x:v>
      </x:c>
      <x:c r="E103" s="78" t="str">
        <x:v>BASEN technika</x:v>
      </x:c>
      <x:c r="F103" s="78" t="str">
        <x:v>1600-2200 m: technika + CSS intro 6-8x100 m w równym tempie, przerwa 15-20 s + schłodzenie.</x:v>
      </x:c>
      <x:c r="G103" s="78" t="str">
        <x:v>ŁATWY</x:v>
      </x:c>
      <x:c r="H103" s="78" t="str">
        <x:v>Progresja pływania/CSS</x:v>
      </x:c>
      <x:c r="I103" s="78" t="str">
        <x:v>Jajka lub jogurt/skyr + owoce; kawa spokojnie.</x:v>
      </x:c>
      <x:c r="J103" s="78" t="str">
        <x:v>Zupa/kasza/ryż + warzywa + białko; nawodnienie.</x:v>
      </x:c>
      <x:c r="K103" s="78" t="str">
        <x:v>Lekka kolacja: ryż/ziemniaki + ryba/tofu/jaja + warzywa.</x:v>
      </x:c>
      <x:c r="L103" s="78"/>
      <x:c r="M103" s="78"/>
      <x:c r="N103" s="78"/>
      <x:c r="O103" s="78"/>
      <x:c r="P103" s="78"/>
      <x:c r="Q103" s="78" t="str">
        <x:v>Jeśli technika się sypie: skróć odcinki, wydłuż przerwy, nie dokładaj metrów.</x:v>
      </x:c>
      <x:c r="V103" s="227"/>
      <x:c r="W103" s="228"/>
      <x:c r="X103" s="226"/>
      <x:c r="Y103" s="229"/>
      <x:c r="Z103" s="227"/>
      <x:c r="AA103" s="226" t="str">
        <x:f>IF(AND(L103="",M103="",N103="",Z103=""),"",IF(OR(M103&gt;=5,N103&lt;6,L103&gt;=8),"CZERWONY",IF(OR(M103&gt;=3,N103&lt;6.5,L103&gt;=7,Z103&lt;=4),"ŻÓŁTY","OK")))</x:f>
      </x:c>
      <x:c r="AB103" s="226" t="str">
        <x:f>IF(AA103="","",IF(AA103="OK","Realizuj plan normalnie.",IF(AA103="ŻÓŁTY","Skróć 10-30% albo zamień akcent na easy.", "STOP mocne bodźce: wolne/basen/Tacx Z1 48-72 h.")))</x:f>
      </x:c>
    </x:row>
    <x:row r="104">
      <x:c r="A104" s="113" t="n">
        <x:v>46378</x:v>
      </x:c>
      <x:c r="B104" s="107" t="str">
        <x:v>Wtorek</x:v>
      </x:c>
      <x:c r="C104" s="107" t="str">
        <x:v>Tydzień 15 (Baza 2 / siła)</x:v>
      </x:c>
      <x:c r="D104" s="107" t="str">
        <x:v>Siła rowerowa, stabilizacja, stopniowe T2</x:v>
      </x:c>
      <x:c r="E104" s="107" t="str">
        <x:v>Bieg easy + rytmy</x:v>
      </x:c>
      <x:c r="F104" s="107" t="str">
        <x:v>6-8 km easy + 4x20 s rytmy tylko jeśli świeżo. Tydzień lżejszy.</x:v>
      </x:c>
      <x:c r="G104" s="107" t="str">
        <x:v>REGENERACJA</x:v>
      </x:c>
      <x:c r="H104" s="107" t="str">
        <x:v>Odświeżenie</x:v>
      </x:c>
      <x:c r="I104" s="107" t="str">
        <x:v>Normalne śniadanie, bez wymuszonego ładowania.</x:v>
      </x:c>
      <x:c r="J104" s="107" t="str">
        <x:v>Warzywa + białko + spokojna porcja węgli.</x:v>
      </x:c>
      <x:c r="K104" s="107" t="str">
        <x:v>Lekko, prosto, sen ważniejszy niż idealne makro.</x:v>
      </x:c>
      <x:c r="L104" s="107"/>
      <x:c r="M104" s="107"/>
      <x:c r="N104" s="107"/>
      <x:c r="O104" s="107"/>
      <x:c r="P104" s="107"/>
      <x:c r="Q104" s="107" t="str">
        <x:v>Nie nadrabiaj zaległości. Regeneracja jest częścią planu.</x:v>
      </x:c>
      <x:c r="V104" s="227"/>
      <x:c r="W104" s="228"/>
      <x:c r="X104" s="226"/>
      <x:c r="Y104" s="229"/>
      <x:c r="Z104" s="227"/>
      <x:c r="AA104" s="226" t="str">
        <x:f>IF(AND(L104="",M104="",N104="",Z104=""),"",IF(OR(M104&gt;=5,N104&lt;6,L104&gt;=8),"CZERWONY",IF(OR(M104&gt;=3,N104&lt;6.5,L104&gt;=7,Z104&lt;=4),"ŻÓŁTY","OK")))</x:f>
      </x:c>
      <x:c r="AB104" s="226" t="str">
        <x:f>IF(AA104="","",IF(AA104="OK","Realizuj plan normalnie.",IF(AA104="ŻÓŁTY","Skróć 10-30% albo zamień akcent na easy.", "STOP mocne bodźce: wolne/basen/Tacx Z1 48-72 h.")))</x:f>
      </x:c>
    </x:row>
    <x:row r="105">
      <x:c r="A105" s="113" t="n">
        <x:v>46379</x:v>
      </x:c>
      <x:c r="B105" s="107" t="str">
        <x:v>Środa</x:v>
      </x:c>
      <x:c r="C105" s="107" t="str">
        <x:v>Tydzień 15 (Baza 2 / siła)</x:v>
      </x:c>
      <x:c r="D105" s="107" t="str">
        <x:v>Siła rowerowa, stabilizacja, stopniowe T2</x:v>
      </x:c>
      <x:c r="E105" s="107" t="str">
        <x:v>Tacx regeneracyjny</x:v>
      </x:c>
      <x:c r="F105" s="107" t="str">
        <x:v>45-60 min Z1/Z2 135-165 W. STAŁY limit regeneracji: bez skalowania minut, bez sweet spot.</x:v>
      </x:c>
      <x:c r="G105" s="107" t="str">
        <x:v>REGENERACJA</x:v>
      </x:c>
      <x:c r="H105" s="107" t="str">
        <x:v>Odświeżenie</x:v>
      </x:c>
      <x:c r="I105" s="107" t="str">
        <x:v>Normalne śniadanie, bez wymuszonego ładowania.</x:v>
      </x:c>
      <x:c r="J105" s="107" t="str">
        <x:v>Warzywa + białko + spokojna porcja węgli.</x:v>
      </x:c>
      <x:c r="K105" s="107" t="str">
        <x:v>Lekko, prosto, sen ważniejszy niż idealne makro.</x:v>
      </x:c>
      <x:c r="L105" s="107"/>
      <x:c r="M105" s="107"/>
      <x:c r="N105" s="107"/>
      <x:c r="O105" s="107"/>
      <x:c r="P105" s="107"/>
      <x:c r="Q105" s="107" t="str">
        <x:v>Nie nadrabiaj zaległości. Regeneracja jest częścią planu.</x:v>
      </x:c>
      <x:c r="V105" s="227"/>
      <x:c r="W105" s="228"/>
      <x:c r="X105" s="226"/>
      <x:c r="Y105" s="229"/>
      <x:c r="Z105" s="227"/>
      <x:c r="AA105" s="226" t="str">
        <x:f>IF(AND(L105="",M105="",N105="",Z105=""),"",IF(OR(M105&gt;=5,N105&lt;6,L105&gt;=8),"CZERWONY",IF(OR(M105&gt;=3,N105&lt;6.5,L105&gt;=7,Z105&lt;=4),"ŻÓŁTY","OK")))</x:f>
      </x:c>
      <x:c r="AB105" s="226" t="str">
        <x:f>IF(AA105="","",IF(AA105="OK","Realizuj plan normalnie.",IF(AA105="ŻÓŁTY","Skróć 10-30% albo zamień akcent na easy.", "STOP mocne bodźce: wolne/basen/Tacx Z1 48-72 h.")))</x:f>
      </x:c>
    </x:row>
    <x:row r="106">
      <x:c r="A106" s="77" t="n">
        <x:v>46380</x:v>
      </x:c>
      <x:c r="B106" s="78" t="str">
        <x:v>Czwartek</x:v>
      </x:c>
      <x:c r="C106" s="78" t="str">
        <x:v>Tydzień 15 (Baza 2 / siła)</x:v>
      </x:c>
      <x:c r="D106" s="78" t="str">
        <x:v>Siła rowerowa, stabilizacja, stopniowe T2</x:v>
      </x:c>
      <x:c r="E106" s="78" t="str">
        <x:v>Bieg easy + BASEN</x:v>
      </x:c>
      <x:c r="F106" s="78" t="str">
        <x:v>RANO: 6-10 km easy + mobility. WIECZÓR: 1600-2200 m: technika + CSS intro 6-8x100 m w równym tempie, przerwa 15-20 s + schłodzenie.</x:v>
      </x:c>
      <x:c r="G106" s="78" t="str">
        <x:v>ŁATWY</x:v>
      </x:c>
      <x:c r="H106" s="78" t="str">
        <x:v>Progresja pływania/CSS</x:v>
      </x:c>
      <x:c r="I106" s="78" t="str">
        <x:v>Jajka lub jogurt/skyr + owoce; kawa spokojnie.</x:v>
      </x:c>
      <x:c r="J106" s="78" t="str">
        <x:v>Zupa/kasza/ryż + warzywa + białko; nawodnienie.</x:v>
      </x:c>
      <x:c r="K106" s="78" t="str">
        <x:v>Lekka kolacja: ryż/ziemniaki + ryba/tofu/jaja + warzywa.</x:v>
      </x:c>
      <x:c r="L106" s="78"/>
      <x:c r="M106" s="78"/>
      <x:c r="N106" s="78"/>
      <x:c r="O106" s="78"/>
      <x:c r="P106" s="78"/>
      <x:c r="Q106" s="78" t="str">
        <x:v>Jeśli technika się sypie: skróć odcinki, wydłuż przerwy, nie dokładaj metrów.</x:v>
      </x:c>
      <x:c r="V106" s="227"/>
      <x:c r="W106" s="228"/>
      <x:c r="X106" s="226"/>
      <x:c r="Y106" s="229"/>
      <x:c r="Z106" s="227"/>
      <x:c r="AA106" s="226" t="str">
        <x:f>IF(AND(L106="",M106="",N106="",Z106=""),"",IF(OR(M106&gt;=5,N106&lt;6,L106&gt;=8),"CZERWONY",IF(OR(M106&gt;=3,N106&lt;6.5,L106&gt;=7,Z106&lt;=4),"ŻÓŁTY","OK")))</x:f>
      </x:c>
      <x:c r="AB106" s="226" t="str">
        <x:f>IF(AA106="","",IF(AA106="OK","Realizuj plan normalnie.",IF(AA106="ŻÓŁTY","Skróć 10-30% albo zamień akcent na easy.", "STOP mocne bodźce: wolne/basen/Tacx Z1 48-72 h.")))</x:f>
      </x:c>
    </x:row>
    <x:row r="107">
      <x:c r="A107" s="71" t="n">
        <x:v>46381</x:v>
      </x:c>
      <x:c r="B107" s="72" t="str">
        <x:v>Piątek</x:v>
      </x:c>
      <x:c r="C107" s="72" t="str">
        <x:v>Tydzień 15 (Baza 2 / siła)</x:v>
      </x:c>
      <x:c r="D107" s="72" t="str">
        <x:v>Siła rowerowa, stabilizacja, stopniowe T2</x:v>
      </x:c>
      <x:c r="E107" s="72" t="str">
        <x:v>WOLNE</x:v>
      </x:c>
      <x:c r="F107" s="72" t="str">
        <x:v>Pełna regeneracja. Zero nadrabiania. Sprawdź sen, RPE i ból.</x:v>
      </x:c>
      <x:c r="G107" s="72" t="str">
        <x:v>WOLNE</x:v>
      </x:c>
      <x:c r="H107" s="72" t="str">
        <x:v>Adaptacja</x:v>
      </x:c>
      <x:c r="I107" s="72" t="str">
        <x:v>Normalne śniadanie, bez wymuszonego ładowania.</x:v>
      </x:c>
      <x:c r="J107" s="72" t="str">
        <x:v>Warzywa + białko + spokojna porcja węgli.</x:v>
      </x:c>
      <x:c r="K107" s="72" t="str">
        <x:v>Lekko, prosto, sen ważniejszy niż idealne makro.</x:v>
      </x:c>
      <x:c r="L107" s="72"/>
      <x:c r="M107" s="72"/>
      <x:c r="N107" s="72"/>
      <x:c r="O107" s="72"/>
      <x:c r="P107" s="72"/>
      <x:c r="Q107" s="72" t="str">
        <x:v>Nie nadrabiaj zaległości. Regeneracja jest częścią planu.</x:v>
      </x:c>
      <x:c r="V107" s="227"/>
      <x:c r="W107" s="228"/>
      <x:c r="X107" s="226"/>
      <x:c r="Y107" s="229"/>
      <x:c r="Z107" s="227"/>
      <x:c r="AA107" s="226" t="str">
        <x:f>IF(AND(L107="",M107="",N107="",Z107=""),"",IF(OR(M107&gt;=5,N107&lt;6,L107&gt;=8),"CZERWONY",IF(OR(M107&gt;=3,N107&lt;6.5,L107&gt;=7,Z107&lt;=4),"ŻÓŁTY","OK")))</x:f>
      </x:c>
      <x:c r="AB107" s="226" t="str">
        <x:f>IF(AA107="","",IF(AA107="OK","Realizuj plan normalnie.",IF(AA107="ŻÓŁTY","Skróć 10-30% albo zamień akcent na easy.", "STOP mocne bodźce: wolne/basen/Tacx Z1 48-72 h.")))</x:f>
      </x:c>
    </x:row>
    <x:row r="108">
      <x:c r="A108" s="113" t="n">
        <x:v>46382</x:v>
      </x:c>
      <x:c r="B108" s="107" t="str">
        <x:v>Sobota</x:v>
      </x:c>
      <x:c r="C108" s="107" t="str">
        <x:v>Tydzień 15 (Baza 2 / siła)</x:v>
      </x:c>
      <x:c r="D108" s="107" t="str">
        <x:v>Siła rowerowa, stabilizacja, stopniowe T2</x:v>
      </x:c>
      <x:c r="E108" s="107" t="str">
        <x:v>Rower regeneracyjny</x:v>
      </x:c>
      <x:c r="F108" s="107" t="str">
        <x:v>45-60 min Z1/Z2. Bez T2. To jest prawdziwy tydzień regeneracyjny.</x:v>
      </x:c>
      <x:c r="G108" s="107" t="str">
        <x:v>REGENERACJA</x:v>
      </x:c>
      <x:c r="H108" s="107" t="str">
        <x:v>Zrzut zmęczenia</x:v>
      </x:c>
      <x:c r="I108" s="107" t="str">
        <x:v>Normalne śniadanie, bez wymuszonego ładowania.</x:v>
      </x:c>
      <x:c r="J108" s="107" t="str">
        <x:v>Warzywa + białko + spokojna porcja węgli.</x:v>
      </x:c>
      <x:c r="K108" s="107" t="str">
        <x:v>Lekko, prosto, sen ważniejszy niż idealne makro.</x:v>
      </x:c>
      <x:c r="L108" s="107"/>
      <x:c r="M108" s="107"/>
      <x:c r="N108" s="107"/>
      <x:c r="O108" s="107"/>
      <x:c r="P108" s="107"/>
      <x:c r="Q108" s="107" t="str">
        <x:v>Nie nadrabiaj zaległości. Regeneracja jest częścią planu.</x:v>
      </x:c>
      <x:c r="V108" s="227"/>
      <x:c r="W108" s="228"/>
      <x:c r="X108" s="226"/>
      <x:c r="Y108" s="229"/>
      <x:c r="Z108" s="227"/>
      <x:c r="AA108" s="226" t="str">
        <x:f>IF(AND(L108="",M108="",N108="",Z108=""),"",IF(OR(M108&gt;=5,N108&lt;6,L108&gt;=8),"CZERWONY",IF(OR(M108&gt;=3,N108&lt;6.5,L108&gt;=7,Z108&lt;=4),"ŻÓŁTY","OK")))</x:f>
      </x:c>
      <x:c r="AB108" s="226" t="str">
        <x:f>IF(AA108="","",IF(AA108="OK","Realizuj plan normalnie.",IF(AA108="ŻÓŁTY","Skróć 10-30% albo zamień akcent na easy.", "STOP mocne bodźce: wolne/basen/Tacx Z1 48-72 h.")))</x:f>
      </x:c>
    </x:row>
    <x:row r="109">
      <x:c r="A109" s="113" t="n">
        <x:v>46383</x:v>
      </x:c>
      <x:c r="B109" s="107" t="str">
        <x:v>Niedziela</x:v>
      </x:c>
      <x:c r="C109" s="107" t="str">
        <x:v>Tydzień 15 (Baza 2 / siła)</x:v>
      </x:c>
      <x:c r="D109" s="107" t="str">
        <x:v>Siła rowerowa, stabilizacja, stopniowe T2</x:v>
      </x:c>
      <x:c r="E109" s="107" t="str">
        <x:v>Bieg easy krótki</x:v>
      </x:c>
      <x:c r="F109" s="107" t="str">
        <x:v>6-10 km easy 5:45-6:15/km. Tydzień lżejszy, bez ambicji.</x:v>
      </x:c>
      <x:c r="G109" s="107" t="str">
        <x:v>REGENERACJA</x:v>
      </x:c>
      <x:c r="H109" s="107" t="str">
        <x:v>Odświeżenie</x:v>
      </x:c>
      <x:c r="I109" s="107" t="str">
        <x:v>Normalne śniadanie, bez wymuszonego ładowania.</x:v>
      </x:c>
      <x:c r="J109" s="107" t="str">
        <x:v>Warzywa + białko + spokojna porcja węgli.</x:v>
      </x:c>
      <x:c r="K109" s="107" t="str">
        <x:v>Lekko, prosto, sen ważniejszy niż idealne makro.</x:v>
      </x:c>
      <x:c r="L109" s="107"/>
      <x:c r="M109" s="107"/>
      <x:c r="N109" s="107"/>
      <x:c r="O109" s="107"/>
      <x:c r="P109" s="107"/>
      <x:c r="Q109" s="107" t="str">
        <x:v>Nie nadrabiaj zaległości. Regeneracja jest częścią planu.</x:v>
      </x:c>
      <x:c r="V109" s="227"/>
      <x:c r="W109" s="228"/>
      <x:c r="X109" s="226"/>
      <x:c r="Y109" s="229"/>
      <x:c r="Z109" s="227"/>
      <x:c r="AA109" s="226" t="str">
        <x:f>IF(AND(L109="",M109="",N109="",Z109=""),"",IF(OR(M109&gt;=5,N109&lt;6,L109&gt;=8),"CZERWONY",IF(OR(M109&gt;=3,N109&lt;6.5,L109&gt;=7,Z109&lt;=4),"ŻÓŁTY","OK")))</x:f>
      </x:c>
      <x:c r="AB109" s="226" t="str">
        <x:f>IF(AA109="","",IF(AA109="OK","Realizuj plan normalnie.",IF(AA109="ŻÓŁTY","Skróć 10-30% albo zamień akcent na easy.", "STOP mocne bodźce: wolne/basen/Tacx Z1 48-72 h.")))</x:f>
      </x:c>
    </x:row>
    <x:row r="110">
      <x:c r="A110" s="77" t="n">
        <x:v>46384</x:v>
      </x:c>
      <x:c r="B110" s="78" t="str">
        <x:v>Poniedziałek</x:v>
      </x:c>
      <x:c r="C110" s="78" t="str">
        <x:v>Tydzień 16 (Baza 2 / siła)</x:v>
      </x:c>
      <x:c r="D110" s="78" t="str">
        <x:v>Siła rowerowa, stabilizacja, stopniowe T2</x:v>
      </x:c>
      <x:c r="E110" s="78" t="str">
        <x:v>BASEN technika</x:v>
      </x:c>
      <x:c r="F110" s="78" t="str">
        <x:v>1600-2200 m: technika + CSS intro 6-8x100 m w równym tempie, przerwa 15-20 s + schłodzenie.</x:v>
      </x:c>
      <x:c r="G110" s="78" t="str">
        <x:v>ŁATWY</x:v>
      </x:c>
      <x:c r="H110" s="78" t="str">
        <x:v>Progresja pływania/CSS</x:v>
      </x:c>
      <x:c r="I110" s="78" t="str">
        <x:v>Jajka lub jogurt/skyr + owoce; kawa spokojnie.</x:v>
      </x:c>
      <x:c r="J110" s="78" t="str">
        <x:v>Zupa/kasza/ryż + warzywa + białko; nawodnienie.</x:v>
      </x:c>
      <x:c r="K110" s="78" t="str">
        <x:v>Lekka kolacja: ryż/ziemniaki + ryba/tofu/jaja + warzywa.</x:v>
      </x:c>
      <x:c r="L110" s="78"/>
      <x:c r="M110" s="78"/>
      <x:c r="N110" s="78"/>
      <x:c r="O110" s="78"/>
      <x:c r="P110" s="78"/>
      <x:c r="Q110" s="78" t="str">
        <x:v>Jeśli technika się sypie: skróć odcinki, wydłuż przerwy, nie dokładaj metrów.</x:v>
      </x:c>
      <x:c r="V110" s="227"/>
      <x:c r="W110" s="228"/>
      <x:c r="X110" s="226"/>
      <x:c r="Y110" s="229"/>
      <x:c r="Z110" s="227"/>
      <x:c r="AA110" s="226" t="str">
        <x:f>IF(AND(L110="",M110="",N110="",Z110=""),"",IF(OR(M110&gt;=5,N110&lt;6,L110&gt;=8),"CZERWONY",IF(OR(M110&gt;=3,N110&lt;6.5,L110&gt;=7,Z110&lt;=4),"ŻÓŁTY","OK")))</x:f>
      </x:c>
      <x:c r="AB110" s="226" t="str">
        <x:f>IF(AA110="","",IF(AA110="OK","Realizuj plan normalnie.",IF(AA110="ŻÓŁTY","Skróć 10-30% albo zamień akcent na easy.", "STOP mocne bodźce: wolne/basen/Tacx Z1 48-72 h.")))</x:f>
      </x:c>
    </x:row>
    <x:row r="111">
      <x:c r="A111" s="113" t="n">
        <x:v>46385</x:v>
      </x:c>
      <x:c r="B111" s="107" t="str">
        <x:v>Wtorek</x:v>
      </x:c>
      <x:c r="C111" s="107" t="str">
        <x:v>Tydzień 16 (Baza 2 / siła)</x:v>
      </x:c>
      <x:c r="D111" s="107" t="str">
        <x:v>Siła rowerowa, stabilizacja, stopniowe T2</x:v>
      </x:c>
      <x:c r="E111" s="107" t="str">
        <x:v>Bieg easy/steady</x:v>
      </x:c>
      <x:c r="F111" s="107" t="str">
        <x:v>8-12 km easy, w środku 6x1 min żywiej albo 20 min steady. Bez interwałów na siłę.</x:v>
      </x:c>
      <x:c r="G111" s="107" t="str">
        <x:v>ŁATWY</x:v>
      </x:c>
      <x:c r="H111" s="107" t="str">
        <x:v>Baza biegowa</x:v>
      </x:c>
      <x:c r="I111" s="107" t="str">
        <x:v>Jajka lub jogurt/skyr + owoce; kawa spokojnie.</x:v>
      </x:c>
      <x:c r="J111" s="107" t="str">
        <x:v>Zupa/kasza/ryż + warzywa + białko; nawodnienie.</x:v>
      </x:c>
      <x:c r="K111" s="107" t="str">
        <x:v>Lekka kolacja: ryż/ziemniaki + ryba/tofu/jaja + warzywa.</x:v>
      </x:c>
      <x:c r="L111" s="107"/>
      <x:c r="M111" s="107"/>
      <x:c r="N111" s="107"/>
      <x:c r="O111" s="107"/>
      <x:c r="P111" s="107"/>
      <x:c r="Q111" s="107" t="str">
        <x:v>Jeśli nogi ciężkie: skróć o 20-30% i trzymaj Z1/Z2.</x:v>
      </x:c>
      <x:c r="V111" s="227"/>
      <x:c r="W111" s="228"/>
      <x:c r="X111" s="226"/>
      <x:c r="Y111" s="229"/>
      <x:c r="Z111" s="227"/>
      <x:c r="AA111" s="226" t="str">
        <x:f>IF(AND(L111="",M111="",N111="",Z111=""),"",IF(OR(M111&gt;=5,N111&lt;6,L111&gt;=8),"CZERWONY",IF(OR(M111&gt;=3,N111&lt;6.5,L111&gt;=7,Z111&lt;=4),"ŻÓŁTY","OK")))</x:f>
      </x:c>
      <x:c r="AB111" s="226" t="str">
        <x:f>IF(AA111="","",IF(AA111="OK","Realizuj plan normalnie.",IF(AA111="ŻÓŁTY","Skróć 10-30% albo zamień akcent na easy.", "STOP mocne bodźce: wolne/basen/Tacx Z1 48-72 h.")))</x:f>
      </x:c>
    </x:row>
    <x:row r="112">
      <x:c r="A112" s="53" t="n">
        <x:v>46386</x:v>
      </x:c>
      <x:c r="B112" s="54" t="str">
        <x:v>Środa</x:v>
      </x:c>
      <x:c r="C112" s="54" t="str">
        <x:v>Tydzień 16 (Baza 2 / siła)</x:v>
      </x:c>
      <x:c r="D112" s="54" t="str">
        <x:v>Siła rowerowa, stabilizacja, stopniowe T2</x:v>
      </x:c>
      <x:c r="E112" s="54" t="str">
        <x:v>Tacx siła niska kadencja</x:v>
      </x:c>
      <x:c r="F112" s="54" t="str">
        <x:v>75-90 min: 4-6x5 min 80-88% FTP, kadencja 65-75 rpm, pełna kontrola kolan.</x:v>
      </x:c>
      <x:c r="G112" s="54" t="str">
        <x:v>MOCNY</x:v>
      </x:c>
      <x:c r="H112" s="54" t="str">
        <x:v>Siła rowerowa</x:v>
      </x:c>
      <x:c r="I112" s="54" t="str">
        <x:v>2-3 h przed: kleik/ryż/wafle + miód/dżem; mało tłuszczu i błonnika.</x:v>
      </x:c>
      <x:c r="J112" s="54" t="str">
        <x:v>Ryż/ziemniaki/kasza + lekkie białko + warzywa.</x:v>
      </x:c>
      <x:c r="K112" s="54" t="str">
        <x:v>Po: 20-35 g białka + węgle; elektrolity.</x:v>
      </x:c>
      <x:c r="L112" s="54"/>
      <x:c r="M112" s="54"/>
      <x:c r="N112" s="54"/>
      <x:c r="O112" s="54"/>
      <x:c r="P112" s="54"/>
      <x:c r="Q112" s="54" t="str">
        <x:v>Jeśli ból ≥3/10 lub sen &lt;6 h: zamień na easy 30-45 min albo basen.</x:v>
      </x:c>
      <x:c r="V112" s="227"/>
      <x:c r="W112" s="228"/>
      <x:c r="X112" s="226"/>
      <x:c r="Y112" s="229"/>
      <x:c r="Z112" s="227"/>
      <x:c r="AA112" s="226" t="str">
        <x:f>IF(AND(L112="",M112="",N112="",Z112=""),"",IF(OR(M112&gt;=5,N112&lt;6,L112&gt;=8),"CZERWONY",IF(OR(M112&gt;=3,N112&lt;6.5,L112&gt;=7,Z112&lt;=4),"ŻÓŁTY","OK")))</x:f>
      </x:c>
      <x:c r="AB112" s="226" t="str">
        <x:f>IF(AA112="","",IF(AA112="OK","Realizuj plan normalnie.",IF(AA112="ŻÓŁTY","Skróć 10-30% albo zamień akcent na easy.", "STOP mocne bodźce: wolne/basen/Tacx Z1 48-72 h.")))</x:f>
      </x:c>
    </x:row>
    <x:row r="113">
      <x:c r="A113" s="77" t="n">
        <x:v>46387</x:v>
      </x:c>
      <x:c r="B113" s="78" t="str">
        <x:v>Czwartek</x:v>
      </x:c>
      <x:c r="C113" s="78" t="str">
        <x:v>Tydzień 16 (Baza 2 / siła)</x:v>
      </x:c>
      <x:c r="D113" s="78" t="str">
        <x:v>Siła rowerowa, stabilizacja, stopniowe T2</x:v>
      </x:c>
      <x:c r="E113" s="78" t="str">
        <x:v>Bieg easy + BASEN</x:v>
      </x:c>
      <x:c r="F113" s="78" t="str">
        <x:v>RANO: 6-10 km easy + mobility. WIECZÓR: 1600-2200 m: technika + CSS intro 6-8x100 m w równym tempie, przerwa 15-20 s + schłodzenie.</x:v>
      </x:c>
      <x:c r="G113" s="78" t="str">
        <x:v>ŁATWY</x:v>
      </x:c>
      <x:c r="H113" s="78" t="str">
        <x:v>Progresja pływania/CSS</x:v>
      </x:c>
      <x:c r="I113" s="78" t="str">
        <x:v>Jajka lub jogurt/skyr + owoce; kawa spokojnie.</x:v>
      </x:c>
      <x:c r="J113" s="78" t="str">
        <x:v>Zupa/kasza/ryż + warzywa + białko; nawodnienie.</x:v>
      </x:c>
      <x:c r="K113" s="78" t="str">
        <x:v>Lekka kolacja: ryż/ziemniaki + ryba/tofu/jaja + warzywa.</x:v>
      </x:c>
      <x:c r="L113" s="78"/>
      <x:c r="M113" s="78"/>
      <x:c r="N113" s="78"/>
      <x:c r="O113" s="78"/>
      <x:c r="P113" s="78"/>
      <x:c r="Q113" s="78" t="str">
        <x:v>Jeśli technika się sypie: skróć odcinki, wydłuż przerwy, nie dokładaj metrów.</x:v>
      </x:c>
      <x:c r="V113" s="227"/>
      <x:c r="W113" s="228"/>
      <x:c r="X113" s="226"/>
      <x:c r="Y113" s="229"/>
      <x:c r="Z113" s="227"/>
      <x:c r="AA113" s="226" t="str">
        <x:f>IF(AND(L113="",M113="",N113="",Z113=""),"",IF(OR(M113&gt;=5,N113&lt;6,L113&gt;=8),"CZERWONY",IF(OR(M113&gt;=3,N113&lt;6.5,L113&gt;=7,Z113&lt;=4),"ŻÓŁTY","OK")))</x:f>
      </x:c>
      <x:c r="AB113" s="226" t="str">
        <x:f>IF(AA113="","",IF(AA113="OK","Realizuj plan normalnie.",IF(AA113="ŻÓŁTY","Skróć 10-30% albo zamień akcent na easy.", "STOP mocne bodźce: wolne/basen/Tacx Z1 48-72 h.")))</x:f>
      </x:c>
    </x:row>
    <x:row r="114" ht="26" customHeight="1">
      <x:c r="A114" s="148" t="n">
        <x:v>46388</x:v>
      </x:c>
      <x:c r="B114" s="149" t="str">
        <x:v>Piątek</x:v>
      </x:c>
      <x:c r="C114" s="149" t="str">
        <x:v>Tydzień 16 (Baza 2 / siła)</x:v>
      </x:c>
      <x:c r="D114" s="158" t="str">
        <x:v>Siła rowerowa, stabilizacja, stopniowe T2</x:v>
      </x:c>
      <x:c r="E114" s="158" t="str">
        <x:v>WOLNE</x:v>
      </x:c>
      <x:c r="F114" s="158" t="str">
        <x:v>Pełna regeneracja. Zero nadrabiania. Sprawdź sen, RPE i ból.</x:v>
      </x:c>
      <x:c r="G114" s="158" t="str">
        <x:v>WOLNE</x:v>
      </x:c>
      <x:c r="H114" s="158" t="str">
        <x:v>Adaptacja</x:v>
      </x:c>
      <x:c r="I114" s="158" t="str">
        <x:v>Normalne śniadanie, bez wymuszonego ładowania.</x:v>
      </x:c>
      <x:c r="J114" s="158" t="str">
        <x:v>Warzywa + białko + spokojna porcja węgli.</x:v>
      </x:c>
      <x:c r="K114" s="158" t="str">
        <x:v>Lekko, prosto, sen ważniejszy niż idealne makro.</x:v>
      </x:c>
      <x:c r="L114" s="158"/>
      <x:c r="M114" s="158"/>
      <x:c r="N114" s="158"/>
      <x:c r="O114" s="158"/>
      <x:c r="P114" s="158"/>
      <x:c r="Q114" s="158" t="str">
        <x:v>Nie nadrabiaj zaległości. Regeneracja jest częścią planu.</x:v>
      </x:c>
      <x:c r="R114" s="136" t="str">
        <x:v>STYCZEŃ 2027</x:v>
      </x:c>
      <x:c r="V114" s="227"/>
      <x:c r="W114" s="228"/>
      <x:c r="X114" s="226"/>
      <x:c r="Y114" s="229"/>
      <x:c r="Z114" s="227"/>
      <x:c r="AA114" s="226" t="str">
        <x:f>IF(AND(L114="",M114="",N114="",Z114=""),"",IF(OR(M114&gt;=5,N114&lt;6,L114&gt;=8),"CZERWONY",IF(OR(M114&gt;=3,N114&lt;6.5,L114&gt;=7,Z114&lt;=4),"ŻÓŁTY","OK")))</x:f>
      </x:c>
      <x:c r="AB114" s="226" t="str">
        <x:f>IF(AA114="","",IF(AA114="OK","Realizuj plan normalnie.",IF(AA114="ŻÓŁTY","Skróć 10-30% albo zamień akcent na easy.", "STOP mocne bodźce: wolne/basen/Tacx Z1 48-72 h.")))</x:f>
      </x:c>
    </x:row>
    <x:row r="115">
      <x:c r="A115" s="113" t="n">
        <x:v>46389</x:v>
      </x:c>
      <x:c r="B115" s="107" t="str">
        <x:v>Sobota</x:v>
      </x:c>
      <x:c r="C115" s="107" t="str">
        <x:v>Tydzień 16 (Baza 2 / siła)</x:v>
      </x:c>
      <x:c r="D115" s="107" t="str">
        <x:v>Siła rowerowa, stabilizacja, stopniowe T2</x:v>
      </x:c>
      <x:c r="E115" s="107" t="str">
        <x:v>Rower długi + Zakładka T2</x:v>
      </x:c>
      <x:c r="F115" s="107" t="str">
        <x:v>160 min Z2 z kontrolą kadencji + 6 km T2 easy. Paliwo 60-80 g węgli/h.</x:v>
      </x:c>
      <x:c r="G115" s="107" t="str">
        <x:v>LONG</x:v>
      </x:c>
      <x:c r="H115" s="107" t="str">
        <x:v>Rower + adaptacja T2</x:v>
      </x:c>
      <x:c r="I115" s="107" t="str">
        <x:v>3 h przed: sprawdzony posiłek węglowodanowy; bez nowych produktów.</x:v>
      </x:c>
      <x:c r="J115" s="107" t="str">
        <x:v>Po treningu: ryż/ziemniaki + białko + sól/elektrolity.</x:v>
      </x:c>
      <x:c r="K115" s="107" t="str">
        <x:v>Kolacja regeneracyjna: węgle + białko + warzywa; uzupełnij płyny.</x:v>
      </x:c>
      <x:c r="L115" s="107"/>
      <x:c r="M115" s="107"/>
      <x:c r="N115" s="107"/>
      <x:c r="O115" s="107"/>
      <x:c r="P115" s="107"/>
      <x:c r="Q115" s="107" t="str">
        <x:v>Jeśli ból narasta lub RPE &gt;7 przed połową: skróć, nie nadrabiaj kilometrów.</x:v>
      </x:c>
      <x:c r="V115" s="227"/>
      <x:c r="W115" s="228"/>
      <x:c r="X115" s="226"/>
      <x:c r="Y115" s="229"/>
      <x:c r="Z115" s="227"/>
      <x:c r="AA115" s="226" t="str">
        <x:f>IF(AND(L115="",M115="",N115="",Z115=""),"",IF(OR(M115&gt;=5,N115&lt;6,L115&gt;=8),"CZERWONY",IF(OR(M115&gt;=3,N115&lt;6.5,L115&gt;=7,Z115&lt;=4),"ŻÓŁTY","OK")))</x:f>
      </x:c>
      <x:c r="AB115" s="226" t="str">
        <x:f>IF(AA115="","",IF(AA115="OK","Realizuj plan normalnie.",IF(AA115="ŻÓŁTY","Skróć 10-30% albo zamień akcent na easy.", "STOP mocne bodźce: wolne/basen/Tacx Z1 48-72 h.")))</x:f>
      </x:c>
    </x:row>
    <x:row r="116">
      <x:c r="A116" s="113" t="n">
        <x:v>46390</x:v>
      </x:c>
      <x:c r="B116" s="107" t="str">
        <x:v>Niedziela</x:v>
      </x:c>
      <x:c r="C116" s="107" t="str">
        <x:v>Tydzień 16 (Baza 2 / siła)</x:v>
      </x:c>
      <x:c r="D116" s="107" t="str">
        <x:v>Siła rowerowa, stabilizacja, stopniowe T2</x:v>
      </x:c>
      <x:c r="E116" s="107" t="str">
        <x:v>Bieg easy dłuższy</x:v>
      </x:c>
      <x:c r="F116" s="107" t="str">
        <x:v>16-18 km easy 5:35-6:05/km. Bez tempa po sobotnim rowerze.</x:v>
      </x:c>
      <x:c r="G116" s="107" t="str">
        <x:v>ŁATWY</x:v>
      </x:c>
      <x:c r="H116" s="107" t="str">
        <x:v>Wytrzymałość</x:v>
      </x:c>
      <x:c r="I116" s="107" t="str">
        <x:v>Jajka lub jogurt/skyr + owoce; kawa spokojnie.</x:v>
      </x:c>
      <x:c r="J116" s="107" t="str">
        <x:v>Zupa/kasza/ryż + warzywa + białko; nawodnienie.</x:v>
      </x:c>
      <x:c r="K116" s="107" t="str">
        <x:v>Lekka kolacja: ryż/ziemniaki + ryba/tofu/jaja + warzywa.</x:v>
      </x:c>
      <x:c r="L116" s="107"/>
      <x:c r="M116" s="107"/>
      <x:c r="N116" s="107"/>
      <x:c r="O116" s="107"/>
      <x:c r="P116" s="107"/>
      <x:c r="Q116" s="107" t="str">
        <x:v>Jeśli nogi ciężkie: skróć o 20-30% i trzymaj Z1/Z2.</x:v>
      </x:c>
      <x:c r="V116" s="227"/>
      <x:c r="W116" s="228"/>
      <x:c r="X116" s="226"/>
      <x:c r="Y116" s="229"/>
      <x:c r="Z116" s="227"/>
      <x:c r="AA116" s="226" t="str">
        <x:f>IF(AND(L116="",M116="",N116="",Z116=""),"",IF(OR(M116&gt;=5,N116&lt;6,L116&gt;=8),"CZERWONY",IF(OR(M116&gt;=3,N116&lt;6.5,L116&gt;=7,Z116&lt;=4),"ŻÓŁTY","OK")))</x:f>
      </x:c>
      <x:c r="AB116" s="226" t="str">
        <x:f>IF(AA116="","",IF(AA116="OK","Realizuj plan normalnie.",IF(AA116="ŻÓŁTY","Skróć 10-30% albo zamień akcent na easy.", "STOP mocne bodźce: wolne/basen/Tacx Z1 48-72 h.")))</x:f>
      </x:c>
    </x:row>
    <x:row r="117">
      <x:c r="A117" s="77" t="n">
        <x:v>46391</x:v>
      </x:c>
      <x:c r="B117" s="78" t="str">
        <x:v>Poniedziałek</x:v>
      </x:c>
      <x:c r="C117" s="78" t="str">
        <x:v>Tydzień 17 (Baza 2 / siła)</x:v>
      </x:c>
      <x:c r="D117" s="78" t="str">
        <x:v>Siła rowerowa, stabilizacja, stopniowe T2</x:v>
      </x:c>
      <x:c r="E117" s="78" t="str">
        <x:v>BASEN technika</x:v>
      </x:c>
      <x:c r="F117" s="78" t="str">
        <x:v>1600-2200 m: technika + CSS intro 6-8x100 m w równym tempie, przerwa 15-20 s + schłodzenie.</x:v>
      </x:c>
      <x:c r="G117" s="78" t="str">
        <x:v>ŁATWY</x:v>
      </x:c>
      <x:c r="H117" s="78" t="str">
        <x:v>Progresja pływania/CSS</x:v>
      </x:c>
      <x:c r="I117" s="78" t="str">
        <x:v>Jajka lub jogurt/skyr + owoce; kawa spokojnie.</x:v>
      </x:c>
      <x:c r="J117" s="78" t="str">
        <x:v>Zupa/kasza/ryż + warzywa + białko; nawodnienie.</x:v>
      </x:c>
      <x:c r="K117" s="78" t="str">
        <x:v>Lekka kolacja: ryż/ziemniaki + ryba/tofu/jaja + warzywa.</x:v>
      </x:c>
      <x:c r="L117" s="78"/>
      <x:c r="M117" s="78"/>
      <x:c r="N117" s="78"/>
      <x:c r="O117" s="78"/>
      <x:c r="P117" s="78"/>
      <x:c r="Q117" s="78" t="str">
        <x:v>Jeśli technika się sypie: skróć odcinki, wydłuż przerwy, nie dokładaj metrów.</x:v>
      </x:c>
      <x:c r="V117" s="227"/>
      <x:c r="W117" s="228"/>
      <x:c r="X117" s="226"/>
      <x:c r="Y117" s="229"/>
      <x:c r="Z117" s="227"/>
      <x:c r="AA117" s="226" t="str">
        <x:f>IF(AND(L117="",M117="",N117="",Z117=""),"",IF(OR(M117&gt;=5,N117&lt;6,L117&gt;=8),"CZERWONY",IF(OR(M117&gt;=3,N117&lt;6.5,L117&gt;=7,Z117&lt;=4),"ŻÓŁTY","OK")))</x:f>
      </x:c>
      <x:c r="AB117" s="226" t="str">
        <x:f>IF(AA117="","",IF(AA117="OK","Realizuj plan normalnie.",IF(AA117="ŻÓŁTY","Skróć 10-30% albo zamień akcent na easy.", "STOP mocne bodźce: wolne/basen/Tacx Z1 48-72 h.")))</x:f>
      </x:c>
    </x:row>
    <x:row r="118">
      <x:c r="A118" s="113" t="n">
        <x:v>46392</x:v>
      </x:c>
      <x:c r="B118" s="107" t="str">
        <x:v>Wtorek</x:v>
      </x:c>
      <x:c r="C118" s="107" t="str">
        <x:v>Tydzień 17 (Baza 2 / siła)</x:v>
      </x:c>
      <x:c r="D118" s="107" t="str">
        <x:v>Siła rowerowa, stabilizacja, stopniowe T2</x:v>
      </x:c>
      <x:c r="E118" s="107" t="str">
        <x:v>Bieg easy/steady</x:v>
      </x:c>
      <x:c r="F118" s="107" t="str">
        <x:v>8-12 km easy, w środku 6x1 min żywiej albo 20 min steady. Bez interwałów na siłę.</x:v>
      </x:c>
      <x:c r="G118" s="107" t="str">
        <x:v>ŁATWY</x:v>
      </x:c>
      <x:c r="H118" s="107" t="str">
        <x:v>Baza biegowa</x:v>
      </x:c>
      <x:c r="I118" s="107" t="str">
        <x:v>Jajka lub jogurt/skyr + owoce; kawa spokojnie.</x:v>
      </x:c>
      <x:c r="J118" s="107" t="str">
        <x:v>Zupa/kasza/ryż + warzywa + białko; nawodnienie.</x:v>
      </x:c>
      <x:c r="K118" s="107" t="str">
        <x:v>Lekka kolacja: ryż/ziemniaki + ryba/tofu/jaja + warzywa.</x:v>
      </x:c>
      <x:c r="L118" s="107"/>
      <x:c r="M118" s="107"/>
      <x:c r="N118" s="107"/>
      <x:c r="O118" s="107"/>
      <x:c r="P118" s="107"/>
      <x:c r="Q118" s="107" t="str">
        <x:v>Jeśli nogi ciężkie: skróć o 20-30% i trzymaj Z1/Z2.</x:v>
      </x:c>
      <x:c r="V118" s="227"/>
      <x:c r="W118" s="228"/>
      <x:c r="X118" s="226"/>
      <x:c r="Y118" s="229"/>
      <x:c r="Z118" s="227"/>
      <x:c r="AA118" s="226" t="str">
        <x:f>IF(AND(L118="",M118="",N118="",Z118=""),"",IF(OR(M118&gt;=5,N118&lt;6,L118&gt;=8),"CZERWONY",IF(OR(M118&gt;=3,N118&lt;6.5,L118&gt;=7,Z118&lt;=4),"ŻÓŁTY","OK")))</x:f>
      </x:c>
      <x:c r="AB118" s="226" t="str">
        <x:f>IF(AA118="","",IF(AA118="OK","Realizuj plan normalnie.",IF(AA118="ŻÓŁTY","Skróć 10-30% albo zamień akcent na easy.", "STOP mocne bodźce: wolne/basen/Tacx Z1 48-72 h.")))</x:f>
      </x:c>
    </x:row>
    <x:row r="119">
      <x:c r="A119" s="53" t="n">
        <x:v>46393</x:v>
      </x:c>
      <x:c r="B119" s="54" t="str">
        <x:v>Środa</x:v>
      </x:c>
      <x:c r="C119" s="54" t="str">
        <x:v>Tydzień 17 (Baza 2 / siła)</x:v>
      </x:c>
      <x:c r="D119" s="54" t="str">
        <x:v>Siła rowerowa, stabilizacja, stopniowe T2</x:v>
      </x:c>
      <x:c r="E119" s="54" t="str">
        <x:v>Tacx siła niska kadencja</x:v>
      </x:c>
      <x:c r="F119" s="54" t="str">
        <x:v>75-90 min: 4-6x5 min 80-88% FTP, kadencja 65-75 rpm, pełna kontrola kolan.</x:v>
      </x:c>
      <x:c r="G119" s="54" t="str">
        <x:v>MOCNY</x:v>
      </x:c>
      <x:c r="H119" s="54" t="str">
        <x:v>Siła rowerowa</x:v>
      </x:c>
      <x:c r="I119" s="54" t="str">
        <x:v>2-3 h przed: kleik/ryż/wafle + miód/dżem; mało tłuszczu i błonnika.</x:v>
      </x:c>
      <x:c r="J119" s="54" t="str">
        <x:v>Ryż/ziemniaki/kasza + lekkie białko + warzywa.</x:v>
      </x:c>
      <x:c r="K119" s="54" t="str">
        <x:v>Po: 20-35 g białka + węgle; elektrolity.</x:v>
      </x:c>
      <x:c r="L119" s="54"/>
      <x:c r="M119" s="54"/>
      <x:c r="N119" s="54"/>
      <x:c r="O119" s="54"/>
      <x:c r="P119" s="54"/>
      <x:c r="Q119" s="54" t="str">
        <x:v>Jeśli ból ≥3/10 lub sen &lt;6 h: zamień na easy 30-45 min albo basen.</x:v>
      </x:c>
      <x:c r="V119" s="227"/>
      <x:c r="W119" s="228"/>
      <x:c r="X119" s="226"/>
      <x:c r="Y119" s="229"/>
      <x:c r="Z119" s="227"/>
      <x:c r="AA119" s="226" t="str">
        <x:f>IF(AND(L119="",M119="",N119="",Z119=""),"",IF(OR(M119&gt;=5,N119&lt;6,L119&gt;=8),"CZERWONY",IF(OR(M119&gt;=3,N119&lt;6.5,L119&gt;=7,Z119&lt;=4),"ŻÓŁTY","OK")))</x:f>
      </x:c>
      <x:c r="AB119" s="226" t="str">
        <x:f>IF(AA119="","",IF(AA119="OK","Realizuj plan normalnie.",IF(AA119="ŻÓŁTY","Skróć 10-30% albo zamień akcent na easy.", "STOP mocne bodźce: wolne/basen/Tacx Z1 48-72 h.")))</x:f>
      </x:c>
    </x:row>
    <x:row r="120">
      <x:c r="A120" s="77" t="n">
        <x:v>46394</x:v>
      </x:c>
      <x:c r="B120" s="78" t="str">
        <x:v>Czwartek</x:v>
      </x:c>
      <x:c r="C120" s="78" t="str">
        <x:v>Tydzień 17 (Baza 2 / siła)</x:v>
      </x:c>
      <x:c r="D120" s="78" t="str">
        <x:v>Siła rowerowa, stabilizacja, stopniowe T2</x:v>
      </x:c>
      <x:c r="E120" s="78" t="str">
        <x:v>Bieg easy + BASEN</x:v>
      </x:c>
      <x:c r="F120" s="78" t="str">
        <x:v>RANO: 6-10 km easy + mobility. WIECZÓR: 1600-2200 m: technika + CSS intro 6-8x100 m w równym tempie, przerwa 15-20 s + schłodzenie.</x:v>
      </x:c>
      <x:c r="G120" s="78" t="str">
        <x:v>ŁATWY</x:v>
      </x:c>
      <x:c r="H120" s="78" t="str">
        <x:v>Progresja pływania/CSS</x:v>
      </x:c>
      <x:c r="I120" s="78" t="str">
        <x:v>Jajka lub jogurt/skyr + owoce; kawa spokojnie.</x:v>
      </x:c>
      <x:c r="J120" s="78" t="str">
        <x:v>Zupa/kasza/ryż + warzywa + białko; nawodnienie.</x:v>
      </x:c>
      <x:c r="K120" s="78" t="str">
        <x:v>Lekka kolacja: ryż/ziemniaki + ryba/tofu/jaja + warzywa.</x:v>
      </x:c>
      <x:c r="L120" s="78"/>
      <x:c r="M120" s="78"/>
      <x:c r="N120" s="78"/>
      <x:c r="O120" s="78"/>
      <x:c r="P120" s="78"/>
      <x:c r="Q120" s="78" t="str">
        <x:v>Jeśli technika się sypie: skróć odcinki, wydłuż przerwy, nie dokładaj metrów.</x:v>
      </x:c>
      <x:c r="V120" s="227"/>
      <x:c r="W120" s="228"/>
      <x:c r="X120" s="226"/>
      <x:c r="Y120" s="229"/>
      <x:c r="Z120" s="227"/>
      <x:c r="AA120" s="226" t="str">
        <x:f>IF(AND(L120="",M120="",N120="",Z120=""),"",IF(OR(M120&gt;=5,N120&lt;6,L120&gt;=8),"CZERWONY",IF(OR(M120&gt;=3,N120&lt;6.5,L120&gt;=7,Z120&lt;=4),"ŻÓŁTY","OK")))</x:f>
      </x:c>
      <x:c r="AB120" s="226" t="str">
        <x:f>IF(AA120="","",IF(AA120="OK","Realizuj plan normalnie.",IF(AA120="ŻÓŁTY","Skróć 10-30% albo zamień akcent na easy.", "STOP mocne bodźce: wolne/basen/Tacx Z1 48-72 h.")))</x:f>
      </x:c>
    </x:row>
    <x:row r="121">
      <x:c r="A121" s="71" t="n">
        <x:v>46395</x:v>
      </x:c>
      <x:c r="B121" s="72" t="str">
        <x:v>Piątek</x:v>
      </x:c>
      <x:c r="C121" s="72" t="str">
        <x:v>Tydzień 17 (Baza 2 / siła)</x:v>
      </x:c>
      <x:c r="D121" s="72" t="str">
        <x:v>Siła rowerowa, stabilizacja, stopniowe T2</x:v>
      </x:c>
      <x:c r="E121" s="72" t="str">
        <x:v>WOLNE</x:v>
      </x:c>
      <x:c r="F121" s="72" t="str">
        <x:v>Pełna regeneracja. Zero nadrabiania. Sprawdź sen, RPE i ból.</x:v>
      </x:c>
      <x:c r="G121" s="72" t="str">
        <x:v>WOLNE</x:v>
      </x:c>
      <x:c r="H121" s="72" t="str">
        <x:v>Adaptacja</x:v>
      </x:c>
      <x:c r="I121" s="72" t="str">
        <x:v>Normalne śniadanie, bez wymuszonego ładowania.</x:v>
      </x:c>
      <x:c r="J121" s="72" t="str">
        <x:v>Warzywa + białko + spokojna porcja węgli.</x:v>
      </x:c>
      <x:c r="K121" s="72" t="str">
        <x:v>Lekko, prosto, sen ważniejszy niż idealne makro.</x:v>
      </x:c>
      <x:c r="L121" s="72"/>
      <x:c r="M121" s="72"/>
      <x:c r="N121" s="72"/>
      <x:c r="O121" s="72"/>
      <x:c r="P121" s="72"/>
      <x:c r="Q121" s="72" t="str">
        <x:v>Nie nadrabiaj zaległości. Regeneracja jest częścią planu.</x:v>
      </x:c>
      <x:c r="V121" s="227"/>
      <x:c r="W121" s="228"/>
      <x:c r="X121" s="226"/>
      <x:c r="Y121" s="229"/>
      <x:c r="Z121" s="227"/>
      <x:c r="AA121" s="226" t="str">
        <x:f>IF(AND(L121="",M121="",N121="",Z121=""),"",IF(OR(M121&gt;=5,N121&lt;6,L121&gt;=8),"CZERWONY",IF(OR(M121&gt;=3,N121&lt;6.5,L121&gt;=7,Z121&lt;=4),"ŻÓŁTY","OK")))</x:f>
      </x:c>
      <x:c r="AB121" s="226" t="str">
        <x:f>IF(AA121="","",IF(AA121="OK","Realizuj plan normalnie.",IF(AA121="ŻÓŁTY","Skróć 10-30% albo zamień akcent na easy.", "STOP mocne bodźce: wolne/basen/Tacx Z1 48-72 h.")))</x:f>
      </x:c>
    </x:row>
    <x:row r="122">
      <x:c r="A122" s="113" t="n">
        <x:v>46396</x:v>
      </x:c>
      <x:c r="B122" s="107" t="str">
        <x:v>Sobota</x:v>
      </x:c>
      <x:c r="C122" s="107" t="str">
        <x:v>Tydzień 17 (Baza 2 / siła)</x:v>
      </x:c>
      <x:c r="D122" s="107" t="str">
        <x:v>Siła rowerowa, stabilizacja, stopniowe T2</x:v>
      </x:c>
      <x:c r="E122" s="107" t="str">
        <x:v>Rower długi + Zakładka T2</x:v>
      </x:c>
      <x:c r="F122" s="107" t="str">
        <x:v>190 min Z2 z kontrolą kadencji + 7 km T2 easy. Paliwo 60-80 g węgli/h.</x:v>
      </x:c>
      <x:c r="G122" s="107" t="str">
        <x:v>LONG</x:v>
      </x:c>
      <x:c r="H122" s="107" t="str">
        <x:v>Rower + adaptacja T2</x:v>
      </x:c>
      <x:c r="I122" s="107" t="str">
        <x:v>3 h przed: sprawdzony posiłek węglowodanowy; bez nowych produktów.</x:v>
      </x:c>
      <x:c r="J122" s="107" t="str">
        <x:v>Po treningu: ryż/ziemniaki + białko + sól/elektrolity.</x:v>
      </x:c>
      <x:c r="K122" s="107" t="str">
        <x:v>Kolacja regeneracyjna: węgle + białko + warzywa; uzupełnij płyny.</x:v>
      </x:c>
      <x:c r="L122" s="107"/>
      <x:c r="M122" s="107"/>
      <x:c r="N122" s="107"/>
      <x:c r="O122" s="107"/>
      <x:c r="P122" s="107"/>
      <x:c r="Q122" s="107" t="str">
        <x:v>Jeśli ból narasta lub RPE &gt;7 przed połową: skróć, nie nadrabiaj kilometrów.</x:v>
      </x:c>
      <x:c r="V122" s="227"/>
      <x:c r="W122" s="228"/>
      <x:c r="X122" s="226"/>
      <x:c r="Y122" s="229"/>
      <x:c r="Z122" s="227"/>
      <x:c r="AA122" s="226" t="str">
        <x:f>IF(AND(L122="",M122="",N122="",Z122=""),"",IF(OR(M122&gt;=5,N122&lt;6,L122&gt;=8),"CZERWONY",IF(OR(M122&gt;=3,N122&lt;6.5,L122&gt;=7,Z122&lt;=4),"ŻÓŁTY","OK")))</x:f>
      </x:c>
      <x:c r="AB122" s="226" t="str">
        <x:f>IF(AA122="","",IF(AA122="OK","Realizuj plan normalnie.",IF(AA122="ŻÓŁTY","Skróć 10-30% albo zamień akcent na easy.", "STOP mocne bodźce: wolne/basen/Tacx Z1 48-72 h.")))</x:f>
      </x:c>
    </x:row>
    <x:row r="123">
      <x:c r="A123" s="113" t="n">
        <x:v>46397</x:v>
      </x:c>
      <x:c r="B123" s="107" t="str">
        <x:v>Niedziela</x:v>
      </x:c>
      <x:c r="C123" s="107" t="str">
        <x:v>Tydzień 17 (Baza 2 / siła)</x:v>
      </x:c>
      <x:c r="D123" s="107" t="str">
        <x:v>Siła rowerowa, stabilizacja, stopniowe T2</x:v>
      </x:c>
      <x:c r="E123" s="107" t="str">
        <x:v>Bieg easy dłuższy</x:v>
      </x:c>
      <x:c r="F123" s="107" t="str">
        <x:v>16-18 km easy 5:35-6:05/km. Bez tempa po sobotnim rowerze.</x:v>
      </x:c>
      <x:c r="G123" s="107" t="str">
        <x:v>ŁATWY</x:v>
      </x:c>
      <x:c r="H123" s="107" t="str">
        <x:v>Wytrzymałość</x:v>
      </x:c>
      <x:c r="I123" s="107" t="str">
        <x:v>Jajka lub jogurt/skyr + owoce; kawa spokojnie.</x:v>
      </x:c>
      <x:c r="J123" s="107" t="str">
        <x:v>Zupa/kasza/ryż + warzywa + białko; nawodnienie.</x:v>
      </x:c>
      <x:c r="K123" s="107" t="str">
        <x:v>Lekka kolacja: ryż/ziemniaki + ryba/tofu/jaja + warzywa.</x:v>
      </x:c>
      <x:c r="L123" s="107"/>
      <x:c r="M123" s="107"/>
      <x:c r="N123" s="107"/>
      <x:c r="O123" s="107"/>
      <x:c r="P123" s="107"/>
      <x:c r="Q123" s="107" t="str">
        <x:v>Jeśli nogi ciężkie: skróć o 20-30% i trzymaj Z1/Z2.</x:v>
      </x:c>
      <x:c r="V123" s="227"/>
      <x:c r="W123" s="228"/>
      <x:c r="X123" s="226"/>
      <x:c r="Y123" s="229"/>
      <x:c r="Z123" s="227"/>
      <x:c r="AA123" s="226" t="str">
        <x:f>IF(AND(L123="",M123="",N123="",Z123=""),"",IF(OR(M123&gt;=5,N123&lt;6,L123&gt;=8),"CZERWONY",IF(OR(M123&gt;=3,N123&lt;6.5,L123&gt;=7,Z123&lt;=4),"ŻÓŁTY","OK")))</x:f>
      </x:c>
      <x:c r="AB123" s="226" t="str">
        <x:f>IF(AA123="","",IF(AA123="OK","Realizuj plan normalnie.",IF(AA123="ŻÓŁTY","Skróć 10-30% albo zamień akcent na easy.", "STOP mocne bodźce: wolne/basen/Tacx Z1 48-72 h.")))</x:f>
      </x:c>
    </x:row>
    <x:row r="124">
      <x:c r="A124" s="77" t="n">
        <x:v>46398</x:v>
      </x:c>
      <x:c r="B124" s="78" t="str">
        <x:v>Poniedziałek</x:v>
      </x:c>
      <x:c r="C124" s="78" t="str">
        <x:v>Tydzień 18 (Baza 2 / siła)</x:v>
      </x:c>
      <x:c r="D124" s="78" t="str">
        <x:v>Siła rowerowa, stabilizacja, stopniowe T2</x:v>
      </x:c>
      <x:c r="E124" s="78" t="str">
        <x:v>BASEN technika</x:v>
      </x:c>
      <x:c r="F124" s="78" t="str">
        <x:v>1600-2200 m: technika + CSS intro 6-8x100 m w równym tempie, przerwa 15-20 s + schłodzenie.</x:v>
      </x:c>
      <x:c r="G124" s="78" t="str">
        <x:v>ŁATWY</x:v>
      </x:c>
      <x:c r="H124" s="78" t="str">
        <x:v>Progresja pływania/CSS</x:v>
      </x:c>
      <x:c r="I124" s="78" t="str">
        <x:v>Jajka lub jogurt/skyr + owoce; kawa spokojnie.</x:v>
      </x:c>
      <x:c r="J124" s="78" t="str">
        <x:v>Zupa/kasza/ryż + warzywa + białko; nawodnienie.</x:v>
      </x:c>
      <x:c r="K124" s="78" t="str">
        <x:v>Lekka kolacja: ryż/ziemniaki + ryba/tofu/jaja + warzywa.</x:v>
      </x:c>
      <x:c r="L124" s="78"/>
      <x:c r="M124" s="78"/>
      <x:c r="N124" s="78"/>
      <x:c r="O124" s="78"/>
      <x:c r="P124" s="78"/>
      <x:c r="Q124" s="78" t="str">
        <x:v>Jeśli technika się sypie: skróć odcinki, wydłuż przerwy, nie dokładaj metrów.</x:v>
      </x:c>
      <x:c r="V124" s="227"/>
      <x:c r="W124" s="228"/>
      <x:c r="X124" s="226"/>
      <x:c r="Y124" s="229"/>
      <x:c r="Z124" s="227"/>
      <x:c r="AA124" s="226" t="str">
        <x:f>IF(AND(L124="",M124="",N124="",Z124=""),"",IF(OR(M124&gt;=5,N124&lt;6,L124&gt;=8),"CZERWONY",IF(OR(M124&gt;=3,N124&lt;6.5,L124&gt;=7,Z124&lt;=4),"ŻÓŁTY","OK")))</x:f>
      </x:c>
      <x:c r="AB124" s="226" t="str">
        <x:f>IF(AA124="","",IF(AA124="OK","Realizuj plan normalnie.",IF(AA124="ŻÓŁTY","Skróć 10-30% albo zamień akcent na easy.", "STOP mocne bodźce: wolne/basen/Tacx Z1 48-72 h.")))</x:f>
      </x:c>
    </x:row>
    <x:row r="125">
      <x:c r="A125" s="113" t="n">
        <x:v>46399</x:v>
      </x:c>
      <x:c r="B125" s="107" t="str">
        <x:v>Wtorek</x:v>
      </x:c>
      <x:c r="C125" s="107" t="str">
        <x:v>Tydzień 18 (Baza 2 / siła)</x:v>
      </x:c>
      <x:c r="D125" s="107" t="str">
        <x:v>Siła rowerowa, stabilizacja, stopniowe T2</x:v>
      </x:c>
      <x:c r="E125" s="107" t="str">
        <x:v>Bieg easy/steady</x:v>
      </x:c>
      <x:c r="F125" s="107" t="str">
        <x:v>8-12 km easy, w środku 6x1 min żywiej albo 20 min steady. Bez interwałów na siłę.</x:v>
      </x:c>
      <x:c r="G125" s="107" t="str">
        <x:v>ŁATWY</x:v>
      </x:c>
      <x:c r="H125" s="107" t="str">
        <x:v>Baza biegowa</x:v>
      </x:c>
      <x:c r="I125" s="107" t="str">
        <x:v>Jajka lub jogurt/skyr + owoce; kawa spokojnie.</x:v>
      </x:c>
      <x:c r="J125" s="107" t="str">
        <x:v>Zupa/kasza/ryż + warzywa + białko; nawodnienie.</x:v>
      </x:c>
      <x:c r="K125" s="107" t="str">
        <x:v>Lekka kolacja: ryż/ziemniaki + ryba/tofu/jaja + warzywa.</x:v>
      </x:c>
      <x:c r="L125" s="107"/>
      <x:c r="M125" s="107"/>
      <x:c r="N125" s="107"/>
      <x:c r="O125" s="107"/>
      <x:c r="P125" s="107"/>
      <x:c r="Q125" s="107" t="str">
        <x:v>Jeśli nogi ciężkie: skróć o 20-30% i trzymaj Z1/Z2.</x:v>
      </x:c>
      <x:c r="V125" s="227"/>
      <x:c r="W125" s="228"/>
      <x:c r="X125" s="226"/>
      <x:c r="Y125" s="229"/>
      <x:c r="Z125" s="227"/>
      <x:c r="AA125" s="226" t="str">
        <x:f>IF(AND(L125="",M125="",N125="",Z125=""),"",IF(OR(M125&gt;=5,N125&lt;6,L125&gt;=8),"CZERWONY",IF(OR(M125&gt;=3,N125&lt;6.5,L125&gt;=7,Z125&lt;=4),"ŻÓŁTY","OK")))</x:f>
      </x:c>
      <x:c r="AB125" s="226" t="str">
        <x:f>IF(AA125="","",IF(AA125="OK","Realizuj plan normalnie.",IF(AA125="ŻÓŁTY","Skróć 10-30% albo zamień akcent na easy.", "STOP mocne bodźce: wolne/basen/Tacx Z1 48-72 h.")))</x:f>
      </x:c>
    </x:row>
    <x:row r="126">
      <x:c r="A126" s="53" t="n">
        <x:v>46400</x:v>
      </x:c>
      <x:c r="B126" s="54" t="str">
        <x:v>Środa</x:v>
      </x:c>
      <x:c r="C126" s="54" t="str">
        <x:v>Tydzień 18 (Baza 2 / siła)</x:v>
      </x:c>
      <x:c r="D126" s="54" t="str">
        <x:v>Siła rowerowa, stabilizacja, stopniowe T2</x:v>
      </x:c>
      <x:c r="E126" s="54" t="str">
        <x:v>Tacx siła niska kadencja</x:v>
      </x:c>
      <x:c r="F126" s="54" t="str">
        <x:v>75-90 min: 4-6x5 min 80-88% FTP, kadencja 65-75 rpm, pełna kontrola kolan.</x:v>
      </x:c>
      <x:c r="G126" s="54" t="str">
        <x:v>MOCNY</x:v>
      </x:c>
      <x:c r="H126" s="54" t="str">
        <x:v>Siła rowerowa</x:v>
      </x:c>
      <x:c r="I126" s="54" t="str">
        <x:v>2-3 h przed: kleik/ryż/wafle + miód/dżem; mało tłuszczu i błonnika.</x:v>
      </x:c>
      <x:c r="J126" s="54" t="str">
        <x:v>Ryż/ziemniaki/kasza + lekkie białko + warzywa.</x:v>
      </x:c>
      <x:c r="K126" s="54" t="str">
        <x:v>Po: 20-35 g białka + węgle; elektrolity.</x:v>
      </x:c>
      <x:c r="L126" s="54"/>
      <x:c r="M126" s="54"/>
      <x:c r="N126" s="54"/>
      <x:c r="O126" s="54"/>
      <x:c r="P126" s="54"/>
      <x:c r="Q126" s="54" t="str">
        <x:v>Jeśli ból ≥3/10 lub sen &lt;6 h: zamień na easy 30-45 min albo basen.</x:v>
      </x:c>
      <x:c r="V126" s="227"/>
      <x:c r="W126" s="228"/>
      <x:c r="X126" s="226"/>
      <x:c r="Y126" s="229"/>
      <x:c r="Z126" s="227"/>
      <x:c r="AA126" s="226" t="str">
        <x:f>IF(AND(L126="",M126="",N126="",Z126=""),"",IF(OR(M126&gt;=5,N126&lt;6,L126&gt;=8),"CZERWONY",IF(OR(M126&gt;=3,N126&lt;6.5,L126&gt;=7,Z126&lt;=4),"ŻÓŁTY","OK")))</x:f>
      </x:c>
      <x:c r="AB126" s="226" t="str">
        <x:f>IF(AA126="","",IF(AA126="OK","Realizuj plan normalnie.",IF(AA126="ŻÓŁTY","Skróć 10-30% albo zamień akcent na easy.", "STOP mocne bodźce: wolne/basen/Tacx Z1 48-72 h.")))</x:f>
      </x:c>
    </x:row>
    <x:row r="127">
      <x:c r="A127" s="77" t="n">
        <x:v>46401</x:v>
      </x:c>
      <x:c r="B127" s="78" t="str">
        <x:v>Czwartek</x:v>
      </x:c>
      <x:c r="C127" s="78" t="str">
        <x:v>Tydzień 18 (Baza 2 / siła)</x:v>
      </x:c>
      <x:c r="D127" s="78" t="str">
        <x:v>Siła rowerowa, stabilizacja, stopniowe T2</x:v>
      </x:c>
      <x:c r="E127" s="78" t="str">
        <x:v>Bieg easy + BASEN</x:v>
      </x:c>
      <x:c r="F127" s="78" t="str">
        <x:v>RANO: 6-10 km easy + mobility. WIECZÓR: 1600-2200 m: technika + CSS intro 6-8x100 m w równym tempie, przerwa 15-20 s + schłodzenie.</x:v>
      </x:c>
      <x:c r="G127" s="78" t="str">
        <x:v>ŁATWY</x:v>
      </x:c>
      <x:c r="H127" s="78" t="str">
        <x:v>Progresja pływania/CSS</x:v>
      </x:c>
      <x:c r="I127" s="78" t="str">
        <x:v>Jajka lub jogurt/skyr + owoce; kawa spokojnie.</x:v>
      </x:c>
      <x:c r="J127" s="78" t="str">
        <x:v>Zupa/kasza/ryż + warzywa + białko; nawodnienie.</x:v>
      </x:c>
      <x:c r="K127" s="78" t="str">
        <x:v>Lekka kolacja: ryż/ziemniaki + ryba/tofu/jaja + warzywa.</x:v>
      </x:c>
      <x:c r="L127" s="78"/>
      <x:c r="M127" s="78"/>
      <x:c r="N127" s="78"/>
      <x:c r="O127" s="78"/>
      <x:c r="P127" s="78"/>
      <x:c r="Q127" s="78" t="str">
        <x:v>Jeśli technika się sypie: skróć odcinki, wydłuż przerwy, nie dokładaj metrów.</x:v>
      </x:c>
      <x:c r="V127" s="227"/>
      <x:c r="W127" s="228"/>
      <x:c r="X127" s="226"/>
      <x:c r="Y127" s="229"/>
      <x:c r="Z127" s="227"/>
      <x:c r="AA127" s="226" t="str">
        <x:f>IF(AND(L127="",M127="",N127="",Z127=""),"",IF(OR(M127&gt;=5,N127&lt;6,L127&gt;=8),"CZERWONY",IF(OR(M127&gt;=3,N127&lt;6.5,L127&gt;=7,Z127&lt;=4),"ŻÓŁTY","OK")))</x:f>
      </x:c>
      <x:c r="AB127" s="226" t="str">
        <x:f>IF(AA127="","",IF(AA127="OK","Realizuj plan normalnie.",IF(AA127="ŻÓŁTY","Skróć 10-30% albo zamień akcent na easy.", "STOP mocne bodźce: wolne/basen/Tacx Z1 48-72 h.")))</x:f>
      </x:c>
    </x:row>
    <x:row r="128">
      <x:c r="A128" s="71" t="n">
        <x:v>46402</x:v>
      </x:c>
      <x:c r="B128" s="72" t="str">
        <x:v>Piątek</x:v>
      </x:c>
      <x:c r="C128" s="72" t="str">
        <x:v>Tydzień 18 (Baza 2 / siła)</x:v>
      </x:c>
      <x:c r="D128" s="72" t="str">
        <x:v>Siła rowerowa, stabilizacja, stopniowe T2</x:v>
      </x:c>
      <x:c r="E128" s="72" t="str">
        <x:v>WOLNE</x:v>
      </x:c>
      <x:c r="F128" s="72" t="str">
        <x:v>Pełna regeneracja. Zero nadrabiania. Sprawdź sen, RPE i ból.</x:v>
      </x:c>
      <x:c r="G128" s="72" t="str">
        <x:v>WOLNE</x:v>
      </x:c>
      <x:c r="H128" s="72" t="str">
        <x:v>Adaptacja</x:v>
      </x:c>
      <x:c r="I128" s="72" t="str">
        <x:v>Normalne śniadanie, bez wymuszonego ładowania.</x:v>
      </x:c>
      <x:c r="J128" s="72" t="str">
        <x:v>Warzywa + białko + spokojna porcja węgli.</x:v>
      </x:c>
      <x:c r="K128" s="72" t="str">
        <x:v>Lekko, prosto, sen ważniejszy niż idealne makro.</x:v>
      </x:c>
      <x:c r="L128" s="72"/>
      <x:c r="M128" s="72"/>
      <x:c r="N128" s="72"/>
      <x:c r="O128" s="72"/>
      <x:c r="P128" s="72"/>
      <x:c r="Q128" s="72" t="str">
        <x:v>Nie nadrabiaj zaległości. Regeneracja jest częścią planu.</x:v>
      </x:c>
      <x:c r="V128" s="227"/>
      <x:c r="W128" s="228"/>
      <x:c r="X128" s="226"/>
      <x:c r="Y128" s="229"/>
      <x:c r="Z128" s="227"/>
      <x:c r="AA128" s="226" t="str">
        <x:f>IF(AND(L128="",M128="",N128="",Z128=""),"",IF(OR(M128&gt;=5,N128&lt;6,L128&gt;=8),"CZERWONY",IF(OR(M128&gt;=3,N128&lt;6.5,L128&gt;=7,Z128&lt;=4),"ŻÓŁTY","OK")))</x:f>
      </x:c>
      <x:c r="AB128" s="226" t="str">
        <x:f>IF(AA128="","",IF(AA128="OK","Realizuj plan normalnie.",IF(AA128="ŻÓŁTY","Skróć 10-30% albo zamień akcent na easy.", "STOP mocne bodźce: wolne/basen/Tacx Z1 48-72 h.")))</x:f>
      </x:c>
    </x:row>
    <x:row r="129">
      <x:c r="A129" s="113" t="n">
        <x:v>46403</x:v>
      </x:c>
      <x:c r="B129" s="107" t="str">
        <x:v>Sobota</x:v>
      </x:c>
      <x:c r="C129" s="107" t="str">
        <x:v>Tydzień 18 (Baza 2 / siła)</x:v>
      </x:c>
      <x:c r="D129" s="107" t="str">
        <x:v>Siła rowerowa, stabilizacja, stopniowe T2</x:v>
      </x:c>
      <x:c r="E129" s="107" t="str">
        <x:v>Rower długi + Zakładka T2</x:v>
      </x:c>
      <x:c r="F129" s="107" t="str">
        <x:v>210 min Z2 z kontrolą kadencji + 8 km T2 easy. Paliwo 60-80 g węgli/h.</x:v>
      </x:c>
      <x:c r="G129" s="107" t="str">
        <x:v>LONG</x:v>
      </x:c>
      <x:c r="H129" s="107" t="str">
        <x:v>Rower + adaptacja T2</x:v>
      </x:c>
      <x:c r="I129" s="107" t="str">
        <x:v>3 h przed: sprawdzony posiłek węglowodanowy; bez nowych produktów.</x:v>
      </x:c>
      <x:c r="J129" s="107" t="str">
        <x:v>Po treningu: ryż/ziemniaki + białko + sól/elektrolity.</x:v>
      </x:c>
      <x:c r="K129" s="107" t="str">
        <x:v>Kolacja regeneracyjna: węgle + białko + warzywa; uzupełnij płyny.</x:v>
      </x:c>
      <x:c r="L129" s="107"/>
      <x:c r="M129" s="107"/>
      <x:c r="N129" s="107"/>
      <x:c r="O129" s="107"/>
      <x:c r="P129" s="107"/>
      <x:c r="Q129" s="107" t="str">
        <x:v>Jeśli ból narasta lub RPE &gt;7 przed połową: skróć, nie nadrabiaj kilometrów.</x:v>
      </x:c>
      <x:c r="V129" s="227"/>
      <x:c r="W129" s="228"/>
      <x:c r="X129" s="226"/>
      <x:c r="Y129" s="229"/>
      <x:c r="Z129" s="227"/>
      <x:c r="AA129" s="226" t="str">
        <x:f>IF(AND(L129="",M129="",N129="",Z129=""),"",IF(OR(M129&gt;=5,N129&lt;6,L129&gt;=8),"CZERWONY",IF(OR(M129&gt;=3,N129&lt;6.5,L129&gt;=7,Z129&lt;=4),"ŻÓŁTY","OK")))</x:f>
      </x:c>
      <x:c r="AB129" s="226" t="str">
        <x:f>IF(AA129="","",IF(AA129="OK","Realizuj plan normalnie.",IF(AA129="ŻÓŁTY","Skróć 10-30% albo zamień akcent na easy.", "STOP mocne bodźce: wolne/basen/Tacx Z1 48-72 h.")))</x:f>
      </x:c>
    </x:row>
    <x:row r="130">
      <x:c r="A130" s="113" t="n">
        <x:v>46404</x:v>
      </x:c>
      <x:c r="B130" s="107" t="str">
        <x:v>Niedziela</x:v>
      </x:c>
      <x:c r="C130" s="107" t="str">
        <x:v>Tydzień 18 (Baza 2 / siła)</x:v>
      </x:c>
      <x:c r="D130" s="107" t="str">
        <x:v>Siła rowerowa, stabilizacja, stopniowe T2</x:v>
      </x:c>
      <x:c r="E130" s="107" t="str">
        <x:v>Bieg easy dłuższy</x:v>
      </x:c>
      <x:c r="F130" s="107" t="str">
        <x:v>16-18 km easy 5:35-6:05/km. Bez tempa po sobotnim rowerze.</x:v>
      </x:c>
      <x:c r="G130" s="107" t="str">
        <x:v>ŁATWY</x:v>
      </x:c>
      <x:c r="H130" s="107" t="str">
        <x:v>Wytrzymałość</x:v>
      </x:c>
      <x:c r="I130" s="107" t="str">
        <x:v>Jajka lub jogurt/skyr + owoce; kawa spokojnie.</x:v>
      </x:c>
      <x:c r="J130" s="107" t="str">
        <x:v>Zupa/kasza/ryż + warzywa + białko; nawodnienie.</x:v>
      </x:c>
      <x:c r="K130" s="107" t="str">
        <x:v>Lekka kolacja: ryż/ziemniaki + ryba/tofu/jaja + warzywa.</x:v>
      </x:c>
      <x:c r="L130" s="107"/>
      <x:c r="M130" s="107"/>
      <x:c r="N130" s="107"/>
      <x:c r="O130" s="107"/>
      <x:c r="P130" s="107"/>
      <x:c r="Q130" s="107" t="str">
        <x:v>Jeśli nogi ciężkie: skróć o 20-30% i trzymaj Z1/Z2.</x:v>
      </x:c>
      <x:c r="V130" s="227"/>
      <x:c r="W130" s="228"/>
      <x:c r="X130" s="226"/>
      <x:c r="Y130" s="229"/>
      <x:c r="Z130" s="227"/>
      <x:c r="AA130" s="226" t="str">
        <x:f>IF(AND(L130="",M130="",N130="",Z130=""),"",IF(OR(M130&gt;=5,N130&lt;6,L130&gt;=8),"CZERWONY",IF(OR(M130&gt;=3,N130&lt;6.5,L130&gt;=7,Z130&lt;=4),"ŻÓŁTY","OK")))</x:f>
      </x:c>
      <x:c r="AB130" s="226" t="str">
        <x:f>IF(AA130="","",IF(AA130="OK","Realizuj plan normalnie.",IF(AA130="ŻÓŁTY","Skróć 10-30% albo zamień akcent na easy.", "STOP mocne bodźce: wolne/basen/Tacx Z1 48-72 h.")))</x:f>
      </x:c>
    </x:row>
    <x:row r="131">
      <x:c r="A131" s="77" t="n">
        <x:v>46405</x:v>
      </x:c>
      <x:c r="B131" s="78" t="str">
        <x:v>Poniedziałek</x:v>
      </x:c>
      <x:c r="C131" s="78" t="str">
        <x:v>Tydzień 19 (Baza 2 / siła)</x:v>
      </x:c>
      <x:c r="D131" s="78" t="str">
        <x:v>Siła rowerowa, stabilizacja, stopniowe T2</x:v>
      </x:c>
      <x:c r="E131" s="78" t="str">
        <x:v>BASEN technika</x:v>
      </x:c>
      <x:c r="F131" s="78" t="str">
        <x:v>1600-2200 m: technika + CSS intro 6-8x100 m w równym tempie, przerwa 15-20 s + schłodzenie.</x:v>
      </x:c>
      <x:c r="G131" s="78" t="str">
        <x:v>ŁATWY</x:v>
      </x:c>
      <x:c r="H131" s="78" t="str">
        <x:v>Progresja pływania/CSS</x:v>
      </x:c>
      <x:c r="I131" s="78" t="str">
        <x:v>Jajka lub jogurt/skyr + owoce; kawa spokojnie.</x:v>
      </x:c>
      <x:c r="J131" s="78" t="str">
        <x:v>Zupa/kasza/ryż + warzywa + białko; nawodnienie.</x:v>
      </x:c>
      <x:c r="K131" s="78" t="str">
        <x:v>Lekka kolacja: ryż/ziemniaki + ryba/tofu/jaja + warzywa.</x:v>
      </x:c>
      <x:c r="L131" s="78"/>
      <x:c r="M131" s="78"/>
      <x:c r="N131" s="78"/>
      <x:c r="O131" s="78"/>
      <x:c r="P131" s="78"/>
      <x:c r="Q131" s="78" t="str">
        <x:v>Jeśli technika się sypie: skróć odcinki, wydłuż przerwy, nie dokładaj metrów.</x:v>
      </x:c>
      <x:c r="V131" s="227"/>
      <x:c r="W131" s="228"/>
      <x:c r="X131" s="226"/>
      <x:c r="Y131" s="229"/>
      <x:c r="Z131" s="227"/>
      <x:c r="AA131" s="226" t="str">
        <x:f>IF(AND(L131="",M131="",N131="",Z131=""),"",IF(OR(M131&gt;=5,N131&lt;6,L131&gt;=8),"CZERWONY",IF(OR(M131&gt;=3,N131&lt;6.5,L131&gt;=7,Z131&lt;=4),"ŻÓŁTY","OK")))</x:f>
      </x:c>
      <x:c r="AB131" s="226" t="str">
        <x:f>IF(AA131="","",IF(AA131="OK","Realizuj plan normalnie.",IF(AA131="ŻÓŁTY","Skróć 10-30% albo zamień akcent na easy.", "STOP mocne bodźce: wolne/basen/Tacx Z1 48-72 h.")))</x:f>
      </x:c>
    </x:row>
    <x:row r="132">
      <x:c r="A132" s="113" t="n">
        <x:v>46406</x:v>
      </x:c>
      <x:c r="B132" s="107" t="str">
        <x:v>Wtorek</x:v>
      </x:c>
      <x:c r="C132" s="107" t="str">
        <x:v>Tydzień 19 (Baza 2 / siła)</x:v>
      </x:c>
      <x:c r="D132" s="107" t="str">
        <x:v>Siła rowerowa, stabilizacja, stopniowe T2</x:v>
      </x:c>
      <x:c r="E132" s="107" t="str">
        <x:v>Bieg easy + rytmy</x:v>
      </x:c>
      <x:c r="F132" s="107" t="str">
        <x:v>6-8 km easy + 4x20 s rytmy tylko jeśli świeżo. Tydzień lżejszy.</x:v>
      </x:c>
      <x:c r="G132" s="107" t="str">
        <x:v>REGENERACJA</x:v>
      </x:c>
      <x:c r="H132" s="107" t="str">
        <x:v>Odświeżenie</x:v>
      </x:c>
      <x:c r="I132" s="107" t="str">
        <x:v>Normalne śniadanie, bez wymuszonego ładowania.</x:v>
      </x:c>
      <x:c r="J132" s="107" t="str">
        <x:v>Warzywa + białko + spokojna porcja węgli.</x:v>
      </x:c>
      <x:c r="K132" s="107" t="str">
        <x:v>Lekko, prosto, sen ważniejszy niż idealne makro.</x:v>
      </x:c>
      <x:c r="L132" s="107"/>
      <x:c r="M132" s="107"/>
      <x:c r="N132" s="107"/>
      <x:c r="O132" s="107"/>
      <x:c r="P132" s="107"/>
      <x:c r="Q132" s="107" t="str">
        <x:v>Nie nadrabiaj zaległości. Regeneracja jest częścią planu.</x:v>
      </x:c>
      <x:c r="V132" s="227"/>
      <x:c r="W132" s="228"/>
      <x:c r="X132" s="226"/>
      <x:c r="Y132" s="229"/>
      <x:c r="Z132" s="227"/>
      <x:c r="AA132" s="226" t="str">
        <x:f>IF(AND(L132="",M132="",N132="",Z132=""),"",IF(OR(M132&gt;=5,N132&lt;6,L132&gt;=8),"CZERWONY",IF(OR(M132&gt;=3,N132&lt;6.5,L132&gt;=7,Z132&lt;=4),"ŻÓŁTY","OK")))</x:f>
      </x:c>
      <x:c r="AB132" s="226" t="str">
        <x:f>IF(AA132="","",IF(AA132="OK","Realizuj plan normalnie.",IF(AA132="ŻÓŁTY","Skróć 10-30% albo zamień akcent na easy.", "STOP mocne bodźce: wolne/basen/Tacx Z1 48-72 h.")))</x:f>
      </x:c>
    </x:row>
    <x:row r="133">
      <x:c r="A133" s="113" t="n">
        <x:v>46407</x:v>
      </x:c>
      <x:c r="B133" s="107" t="str">
        <x:v>Środa</x:v>
      </x:c>
      <x:c r="C133" s="107" t="str">
        <x:v>Tydzień 19 (Baza 2 / siła)</x:v>
      </x:c>
      <x:c r="D133" s="107" t="str">
        <x:v>Siła rowerowa, stabilizacja, stopniowe T2</x:v>
      </x:c>
      <x:c r="E133" s="107" t="str">
        <x:v>Tacx regeneracyjny</x:v>
      </x:c>
      <x:c r="F133" s="107" t="str">
        <x:v>45-60 min Z1/Z2 135-165 W. STAŁY limit regeneracji: bez skalowania minut, bez sweet spot.</x:v>
      </x:c>
      <x:c r="G133" s="107" t="str">
        <x:v>REGENERACJA</x:v>
      </x:c>
      <x:c r="H133" s="107" t="str">
        <x:v>Odświeżenie</x:v>
      </x:c>
      <x:c r="I133" s="107" t="str">
        <x:v>Normalne śniadanie, bez wymuszonego ładowania.</x:v>
      </x:c>
      <x:c r="J133" s="107" t="str">
        <x:v>Warzywa + białko + spokojna porcja węgli.</x:v>
      </x:c>
      <x:c r="K133" s="107" t="str">
        <x:v>Lekko, prosto, sen ważniejszy niż idealne makro.</x:v>
      </x:c>
      <x:c r="L133" s="107"/>
      <x:c r="M133" s="107"/>
      <x:c r="N133" s="107"/>
      <x:c r="O133" s="107"/>
      <x:c r="P133" s="107"/>
      <x:c r="Q133" s="107" t="str">
        <x:v>Nie nadrabiaj zaległości. Regeneracja jest częścią planu.</x:v>
      </x:c>
      <x:c r="V133" s="227"/>
      <x:c r="W133" s="228"/>
      <x:c r="X133" s="226"/>
      <x:c r="Y133" s="229"/>
      <x:c r="Z133" s="227"/>
      <x:c r="AA133" s="226" t="str">
        <x:f>IF(AND(L133="",M133="",N133="",Z133=""),"",IF(OR(M133&gt;=5,N133&lt;6,L133&gt;=8),"CZERWONY",IF(OR(M133&gt;=3,N133&lt;6.5,L133&gt;=7,Z133&lt;=4),"ŻÓŁTY","OK")))</x:f>
      </x:c>
      <x:c r="AB133" s="226" t="str">
        <x:f>IF(AA133="","",IF(AA133="OK","Realizuj plan normalnie.",IF(AA133="ŻÓŁTY","Skróć 10-30% albo zamień akcent na easy.", "STOP mocne bodźce: wolne/basen/Tacx Z1 48-72 h.")))</x:f>
      </x:c>
    </x:row>
    <x:row r="134">
      <x:c r="A134" s="77" t="n">
        <x:v>46408</x:v>
      </x:c>
      <x:c r="B134" s="78" t="str">
        <x:v>Czwartek</x:v>
      </x:c>
      <x:c r="C134" s="78" t="str">
        <x:v>Tydzień 19 (Baza 2 / siła)</x:v>
      </x:c>
      <x:c r="D134" s="78" t="str">
        <x:v>Siła rowerowa, stabilizacja, stopniowe T2</x:v>
      </x:c>
      <x:c r="E134" s="78" t="str">
        <x:v>Bieg easy + BASEN</x:v>
      </x:c>
      <x:c r="F134" s="78" t="str">
        <x:v>RANO: 6-10 km easy + mobility. WIECZÓR: 1600-2200 m: technika + CSS intro 6-8x100 m w równym tempie, przerwa 15-20 s + schłodzenie.</x:v>
      </x:c>
      <x:c r="G134" s="78" t="str">
        <x:v>ŁATWY</x:v>
      </x:c>
      <x:c r="H134" s="78" t="str">
        <x:v>Progresja pływania/CSS</x:v>
      </x:c>
      <x:c r="I134" s="78" t="str">
        <x:v>Jajka lub jogurt/skyr + owoce; kawa spokojnie.</x:v>
      </x:c>
      <x:c r="J134" s="78" t="str">
        <x:v>Zupa/kasza/ryż + warzywa + białko; nawodnienie.</x:v>
      </x:c>
      <x:c r="K134" s="78" t="str">
        <x:v>Lekka kolacja: ryż/ziemniaki + ryba/tofu/jaja + warzywa.</x:v>
      </x:c>
      <x:c r="L134" s="78"/>
      <x:c r="M134" s="78"/>
      <x:c r="N134" s="78"/>
      <x:c r="O134" s="78"/>
      <x:c r="P134" s="78"/>
      <x:c r="Q134" s="78" t="str">
        <x:v>Jeśli technika się sypie: skróć odcinki, wydłuż przerwy, nie dokładaj metrów.</x:v>
      </x:c>
      <x:c r="V134" s="227"/>
      <x:c r="W134" s="228"/>
      <x:c r="X134" s="226"/>
      <x:c r="Y134" s="229"/>
      <x:c r="Z134" s="227"/>
      <x:c r="AA134" s="226" t="str">
        <x:f>IF(AND(L134="",M134="",N134="",Z134=""),"",IF(OR(M134&gt;=5,N134&lt;6,L134&gt;=8),"CZERWONY",IF(OR(M134&gt;=3,N134&lt;6.5,L134&gt;=7,Z134&lt;=4),"ŻÓŁTY","OK")))</x:f>
      </x:c>
      <x:c r="AB134" s="226" t="str">
        <x:f>IF(AA134="","",IF(AA134="OK","Realizuj plan normalnie.",IF(AA134="ŻÓŁTY","Skróć 10-30% albo zamień akcent na easy.", "STOP mocne bodźce: wolne/basen/Tacx Z1 48-72 h.")))</x:f>
      </x:c>
    </x:row>
    <x:row r="135">
      <x:c r="A135" s="71" t="n">
        <x:v>46409</x:v>
      </x:c>
      <x:c r="B135" s="72" t="str">
        <x:v>Piątek</x:v>
      </x:c>
      <x:c r="C135" s="72" t="str">
        <x:v>Tydzień 19 (Baza 2 / siła)</x:v>
      </x:c>
      <x:c r="D135" s="72" t="str">
        <x:v>Siła rowerowa, stabilizacja, stopniowe T2</x:v>
      </x:c>
      <x:c r="E135" s="72" t="str">
        <x:v>WOLNE</x:v>
      </x:c>
      <x:c r="F135" s="72" t="str">
        <x:v>Pełna regeneracja. Zero nadrabiania. Sprawdź sen, RPE i ból.</x:v>
      </x:c>
      <x:c r="G135" s="72" t="str">
        <x:v>WOLNE</x:v>
      </x:c>
      <x:c r="H135" s="72" t="str">
        <x:v>Adaptacja</x:v>
      </x:c>
      <x:c r="I135" s="72" t="str">
        <x:v>Normalne śniadanie, bez wymuszonego ładowania.</x:v>
      </x:c>
      <x:c r="J135" s="72" t="str">
        <x:v>Warzywa + białko + spokojna porcja węgli.</x:v>
      </x:c>
      <x:c r="K135" s="72" t="str">
        <x:v>Lekko, prosto, sen ważniejszy niż idealne makro.</x:v>
      </x:c>
      <x:c r="L135" s="72"/>
      <x:c r="M135" s="72"/>
      <x:c r="N135" s="72"/>
      <x:c r="O135" s="72"/>
      <x:c r="P135" s="72"/>
      <x:c r="Q135" s="72" t="str">
        <x:v>Nie nadrabiaj zaległości. Regeneracja jest częścią planu.</x:v>
      </x:c>
      <x:c r="V135" s="227"/>
      <x:c r="W135" s="228"/>
      <x:c r="X135" s="226"/>
      <x:c r="Y135" s="229"/>
      <x:c r="Z135" s="227"/>
      <x:c r="AA135" s="226" t="str">
        <x:f>IF(AND(L135="",M135="",N135="",Z135=""),"",IF(OR(M135&gt;=5,N135&lt;6,L135&gt;=8),"CZERWONY",IF(OR(M135&gt;=3,N135&lt;6.5,L135&gt;=7,Z135&lt;=4),"ŻÓŁTY","OK")))</x:f>
      </x:c>
      <x:c r="AB135" s="226" t="str">
        <x:f>IF(AA135="","",IF(AA135="OK","Realizuj plan normalnie.",IF(AA135="ŻÓŁTY","Skróć 10-30% albo zamień akcent na easy.", "STOP mocne bodźce: wolne/basen/Tacx Z1 48-72 h.")))</x:f>
      </x:c>
    </x:row>
    <x:row r="136">
      <x:c r="A136" s="113" t="n">
        <x:v>46410</x:v>
      </x:c>
      <x:c r="B136" s="107" t="str">
        <x:v>Sobota</x:v>
      </x:c>
      <x:c r="C136" s="107" t="str">
        <x:v>Tydzień 19 (Baza 2 / siła)</x:v>
      </x:c>
      <x:c r="D136" s="107" t="str">
        <x:v>Siła rowerowa, stabilizacja, stopniowe T2</x:v>
      </x:c>
      <x:c r="E136" s="107" t="str">
        <x:v>Rower regeneracyjny</x:v>
      </x:c>
      <x:c r="F136" s="107" t="str">
        <x:v>45-60 min Z1/Z2. Bez T2. To jest prawdziwy tydzień regeneracyjny.</x:v>
      </x:c>
      <x:c r="G136" s="107" t="str">
        <x:v>REGENERACJA</x:v>
      </x:c>
      <x:c r="H136" s="107" t="str">
        <x:v>Zrzut zmęczenia</x:v>
      </x:c>
      <x:c r="I136" s="107" t="str">
        <x:v>Normalne śniadanie, bez wymuszonego ładowania.</x:v>
      </x:c>
      <x:c r="J136" s="107" t="str">
        <x:v>Warzywa + białko + spokojna porcja węgli.</x:v>
      </x:c>
      <x:c r="K136" s="107" t="str">
        <x:v>Lekko, prosto, sen ważniejszy niż idealne makro.</x:v>
      </x:c>
      <x:c r="L136" s="107"/>
      <x:c r="M136" s="107"/>
      <x:c r="N136" s="107"/>
      <x:c r="O136" s="107"/>
      <x:c r="P136" s="107"/>
      <x:c r="Q136" s="107" t="str">
        <x:v>Nie nadrabiaj zaległości. Regeneracja jest częścią planu.</x:v>
      </x:c>
      <x:c r="V136" s="227"/>
      <x:c r="W136" s="228"/>
      <x:c r="X136" s="226"/>
      <x:c r="Y136" s="229"/>
      <x:c r="Z136" s="227"/>
      <x:c r="AA136" s="226" t="str">
        <x:f>IF(AND(L136="",M136="",N136="",Z136=""),"",IF(OR(M136&gt;=5,N136&lt;6,L136&gt;=8),"CZERWONY",IF(OR(M136&gt;=3,N136&lt;6.5,L136&gt;=7,Z136&lt;=4),"ŻÓŁTY","OK")))</x:f>
      </x:c>
      <x:c r="AB136" s="226" t="str">
        <x:f>IF(AA136="","",IF(AA136="OK","Realizuj plan normalnie.",IF(AA136="ŻÓŁTY","Skróć 10-30% albo zamień akcent na easy.", "STOP mocne bodźce: wolne/basen/Tacx Z1 48-72 h.")))</x:f>
      </x:c>
    </x:row>
    <x:row r="137">
      <x:c r="A137" s="113" t="n">
        <x:v>46411</x:v>
      </x:c>
      <x:c r="B137" s="107" t="str">
        <x:v>Niedziela</x:v>
      </x:c>
      <x:c r="C137" s="107" t="str">
        <x:v>Tydzień 19 (Baza 2 / siła)</x:v>
      </x:c>
      <x:c r="D137" s="107" t="str">
        <x:v>Siła rowerowa, stabilizacja, stopniowe T2</x:v>
      </x:c>
      <x:c r="E137" s="107" t="str">
        <x:v>Bieg easy krótki</x:v>
      </x:c>
      <x:c r="F137" s="107" t="str">
        <x:v>6-10 km easy 5:45-6:15/km. Tydzień lżejszy, bez ambicji.</x:v>
      </x:c>
      <x:c r="G137" s="107" t="str">
        <x:v>REGENERACJA</x:v>
      </x:c>
      <x:c r="H137" s="107" t="str">
        <x:v>Odświeżenie</x:v>
      </x:c>
      <x:c r="I137" s="107" t="str">
        <x:v>Normalne śniadanie, bez wymuszonego ładowania.</x:v>
      </x:c>
      <x:c r="J137" s="107" t="str">
        <x:v>Warzywa + białko + spokojna porcja węgli.</x:v>
      </x:c>
      <x:c r="K137" s="107" t="str">
        <x:v>Lekko, prosto, sen ważniejszy niż idealne makro.</x:v>
      </x:c>
      <x:c r="L137" s="107"/>
      <x:c r="M137" s="107"/>
      <x:c r="N137" s="107"/>
      <x:c r="O137" s="107"/>
      <x:c r="P137" s="107"/>
      <x:c r="Q137" s="107" t="str">
        <x:v>Nie nadrabiaj zaległości. Regeneracja jest częścią planu.</x:v>
      </x:c>
      <x:c r="V137" s="227"/>
      <x:c r="W137" s="228"/>
      <x:c r="X137" s="226"/>
      <x:c r="Y137" s="229"/>
      <x:c r="Z137" s="227"/>
      <x:c r="AA137" s="226" t="str">
        <x:f>IF(AND(L137="",M137="",N137="",Z137=""),"",IF(OR(M137&gt;=5,N137&lt;6,L137&gt;=8),"CZERWONY",IF(OR(M137&gt;=3,N137&lt;6.5,L137&gt;=7,Z137&lt;=4),"ŻÓŁTY","OK")))</x:f>
      </x:c>
      <x:c r="AB137" s="226" t="str">
        <x:f>IF(AA137="","",IF(AA137="OK","Realizuj plan normalnie.",IF(AA137="ŻÓŁTY","Skróć 10-30% albo zamień akcent na easy.", "STOP mocne bodźce: wolne/basen/Tacx Z1 48-72 h.")))</x:f>
      </x:c>
    </x:row>
    <x:row r="138">
      <x:c r="A138" s="77" t="n">
        <x:v>46412</x:v>
      </x:c>
      <x:c r="B138" s="78" t="str">
        <x:v>Poniedziałek</x:v>
      </x:c>
      <x:c r="C138" s="78" t="str">
        <x:v>Tydzień 20 (Build 1)</x:v>
      </x:c>
      <x:c r="D138" s="78" t="str">
        <x:v>Więcej jakości na rowerze i kontrolowane zakładki</x:v>
      </x:c>
      <x:c r="E138" s="78" t="str">
        <x:v>BASEN technika</x:v>
      </x:c>
      <x:c r="F138" s="78" t="str">
        <x:v>1800-2400 m: CSS 8-12x100 m albo 5x200 m, równe tempo, bez zajeżdżania. Zapisz średnie tempo/100 m.</x:v>
      </x:c>
      <x:c r="G138" s="78" t="str">
        <x:v>ŁATWY</x:v>
      </x:c>
      <x:c r="H138" s="78" t="str">
        <x:v>Progresja pływania/CSS</x:v>
      </x:c>
      <x:c r="I138" s="78" t="str">
        <x:v>Jajka lub jogurt/skyr + owoce; kawa spokojnie.</x:v>
      </x:c>
      <x:c r="J138" s="78" t="str">
        <x:v>Zupa/kasza/ryż + warzywa + białko; nawodnienie.</x:v>
      </x:c>
      <x:c r="K138" s="78" t="str">
        <x:v>Lekka kolacja: ryż/ziemniaki + ryba/tofu/jaja + warzywa.</x:v>
      </x:c>
      <x:c r="L138" s="78"/>
      <x:c r="M138" s="78"/>
      <x:c r="N138" s="78"/>
      <x:c r="O138" s="78"/>
      <x:c r="P138" s="78"/>
      <x:c r="Q138" s="78" t="str">
        <x:v>Jeśli technika się sypie: skróć odcinki, wydłuż przerwy, nie dokładaj metrów.</x:v>
      </x:c>
      <x:c r="V138" s="227"/>
      <x:c r="W138" s="228"/>
      <x:c r="X138" s="226"/>
      <x:c r="Y138" s="229"/>
      <x:c r="Z138" s="227"/>
      <x:c r="AA138" s="226" t="str">
        <x:f>IF(AND(L138="",M138="",N138="",Z138=""),"",IF(OR(M138&gt;=5,N138&lt;6,L138&gt;=8),"CZERWONY",IF(OR(M138&gt;=3,N138&lt;6.5,L138&gt;=7,Z138&lt;=4),"ŻÓŁTY","OK")))</x:f>
      </x:c>
      <x:c r="AB138" s="226" t="str">
        <x:f>IF(AA138="","",IF(AA138="OK","Realizuj plan normalnie.",IF(AA138="ŻÓŁTY","Skróć 10-30% albo zamień akcent na easy.", "STOP mocne bodźce: wolne/basen/Tacx Z1 48-72 h.")))</x:f>
      </x:c>
    </x:row>
    <x:row r="139">
      <x:c r="A139" s="53" t="n">
        <x:v>46413</x:v>
      </x:c>
      <x:c r="B139" s="54" t="str">
        <x:v>Wtorek</x:v>
      </x:c>
      <x:c r="C139" s="54" t="str">
        <x:v>Tydzień 20 (Build 1)</x:v>
      </x:c>
      <x:c r="D139" s="54" t="str">
        <x:v>Więcej jakości na rowerze i kontrolowane zakładki</x:v>
      </x:c>
      <x:c r="E139" s="54" t="str">
        <x:v>Bieg jakościowy</x:v>
      </x:c>
      <x:c r="F139" s="54" t="str">
        <x:v>10-14 km: 3x2 km w tempie 70.3 4:55-5:05/km / 1 km easy.</x:v>
      </x:c>
      <x:c r="G139" s="54" t="str">
        <x:v>MP/RACE PACE</x:v>
      </x:c>
      <x:c r="H139" s="54" t="str">
        <x:v>Tempo po zmęczeniu</x:v>
      </x:c>
      <x:c r="I139" s="54" t="str">
        <x:v>2-3 h przed: kleik/ryż/wafle + miód/dżem; mało tłuszczu i błonnika.</x:v>
      </x:c>
      <x:c r="J139" s="54" t="str">
        <x:v>Ryż/ziemniaki/kasza + lekkie białko + warzywa.</x:v>
      </x:c>
      <x:c r="K139" s="54" t="str">
        <x:v>Po: 20-35 g białka + węgle; elektrolity.</x:v>
      </x:c>
      <x:c r="L139" s="54"/>
      <x:c r="M139" s="54"/>
      <x:c r="N139" s="54"/>
      <x:c r="O139" s="54"/>
      <x:c r="P139" s="54"/>
      <x:c r="Q139" s="54" t="str">
        <x:v>Jeśli ból ≥3/10 lub sen &lt;6 h: zamień na easy 30-45 min albo basen.</x:v>
      </x:c>
      <x:c r="V139" s="227"/>
      <x:c r="W139" s="228"/>
      <x:c r="X139" s="226"/>
      <x:c r="Y139" s="229"/>
      <x:c r="Z139" s="227"/>
      <x:c r="AA139" s="226" t="str">
        <x:f>IF(AND(L139="",M139="",N139="",Z139=""),"",IF(OR(M139&gt;=5,N139&lt;6,L139&gt;=8),"CZERWONY",IF(OR(M139&gt;=3,N139&lt;6.5,L139&gt;=7,Z139&lt;=4),"ŻÓŁTY","OK")))</x:f>
      </x:c>
      <x:c r="AB139" s="226" t="str">
        <x:f>IF(AA139="","",IF(AA139="OK","Realizuj plan normalnie.",IF(AA139="ŻÓŁTY","Skróć 10-30% albo zamień akcent na easy.", "STOP mocne bodźce: wolne/basen/Tacx Z1 48-72 h.")))</x:f>
      </x:c>
    </x:row>
    <x:row r="140">
      <x:c r="A140" s="53" t="n">
        <x:v>46414</x:v>
      </x:c>
      <x:c r="B140" s="54" t="str">
        <x:v>Środa</x:v>
      </x:c>
      <x:c r="C140" s="54" t="str">
        <x:v>Tydzień 20 (Build 1)</x:v>
      </x:c>
      <x:c r="D140" s="54" t="str">
        <x:v>Więcej jakości na rowerze i kontrolowane zakładki</x:v>
      </x:c>
      <x:c r="E140" s="54" t="str">
        <x:v>TEST FTP / Ramp lub 20 min</x:v>
      </x:c>
      <x:c r="F140" s="54" t="str">
        <x:v>Rozgrzewka 20 min + ramp test albo 20 min FTP + schłodzenie. Po teście aktualizuj strefy watów.</x:v>
      </x:c>
      <x:c r="G140" s="54" t="str">
        <x:v>TEST/START</x:v>
      </x:c>
      <x:c r="H140" s="54" t="str">
        <x:v>Kalibracja mocy</x:v>
      </x:c>
      <x:c r="I140" s="54" t="str">
        <x:v>3 h przed: sprawdzony posiłek węglowodanowy; bez nowych produktów.</x:v>
      </x:c>
      <x:c r="J140" s="54" t="str">
        <x:v>Po treningu: ryż/ziemniaki + białko + sól/elektrolity.</x:v>
      </x:c>
      <x:c r="K140" s="54" t="str">
        <x:v>Kolacja regeneracyjna: węgle + białko + warzywa; uzupełnij płyny.</x:v>
      </x:c>
      <x:c r="L140" s="54"/>
      <x:c r="M140" s="54"/>
      <x:c r="N140" s="54"/>
      <x:c r="O140" s="54"/>
      <x:c r="P140" s="54"/>
      <x:c r="Q140" s="54" t="str">
        <x:v>Jeśli ból ≥3/10 lub sen &lt;6 h: zamień na easy 30-45 min albo basen.</x:v>
      </x:c>
      <x:c r="V140" s="227"/>
      <x:c r="W140" s="228"/>
      <x:c r="X140" s="226"/>
      <x:c r="Y140" s="229"/>
      <x:c r="Z140" s="227"/>
      <x:c r="AA140" s="226" t="str">
        <x:f>IF(AND(L140="",M140="",N140="",Z140=""),"",IF(OR(M140&gt;=5,N140&lt;6,L140&gt;=8),"CZERWONY",IF(OR(M140&gt;=3,N140&lt;6.5,L140&gt;=7,Z140&lt;=4),"ŻÓŁTY","OK")))</x:f>
      </x:c>
      <x:c r="AB140" s="226" t="str">
        <x:f>IF(AA140="","",IF(AA140="OK","Realizuj plan normalnie.",IF(AA140="ŻÓŁTY","Skróć 10-30% albo zamień akcent na easy.", "STOP mocne bodźce: wolne/basen/Tacx Z1 48-72 h.")))</x:f>
      </x:c>
    </x:row>
    <x:row r="141">
      <x:c r="A141" s="77" t="n">
        <x:v>46415</x:v>
      </x:c>
      <x:c r="B141" s="78" t="str">
        <x:v>Czwartek</x:v>
      </x:c>
      <x:c r="C141" s="78" t="str">
        <x:v>Tydzień 20 (Build 1)</x:v>
      </x:c>
      <x:c r="D141" s="78" t="str">
        <x:v>Więcej jakości na rowerze i kontrolowane zakładki</x:v>
      </x:c>
      <x:c r="E141" s="78" t="str">
        <x:v>Bieg easy + BASEN</x:v>
      </x:c>
      <x:c r="F141" s="78" t="str">
        <x:v>RANO: 6-10 km easy + mobility. WIECZÓR: 1800-2400 m: CSS 8-12x100 m albo 5x200 m, równe tempo, bez zajeżdżania. Zapisz średnie tempo/100 m.</x:v>
      </x:c>
      <x:c r="G141" s="78" t="str">
        <x:v>ŁATWY</x:v>
      </x:c>
      <x:c r="H141" s="78" t="str">
        <x:v>Progresja pływania/CSS</x:v>
      </x:c>
      <x:c r="I141" s="78" t="str">
        <x:v>Jajka lub jogurt/skyr + owoce; kawa spokojnie.</x:v>
      </x:c>
      <x:c r="J141" s="78" t="str">
        <x:v>Zupa/kasza/ryż + warzywa + białko; nawodnienie.</x:v>
      </x:c>
      <x:c r="K141" s="78" t="str">
        <x:v>Lekka kolacja: ryż/ziemniaki + ryba/tofu/jaja + warzywa.</x:v>
      </x:c>
      <x:c r="L141" s="78"/>
      <x:c r="M141" s="78"/>
      <x:c r="N141" s="78"/>
      <x:c r="O141" s="78"/>
      <x:c r="P141" s="78"/>
      <x:c r="Q141" s="78" t="str">
        <x:v>Jeśli technika się sypie: skróć odcinki, wydłuż przerwy, nie dokładaj metrów.</x:v>
      </x:c>
      <x:c r="V141" s="227"/>
      <x:c r="W141" s="228"/>
      <x:c r="X141" s="226"/>
      <x:c r="Y141" s="229"/>
      <x:c r="Z141" s="227"/>
      <x:c r="AA141" s="226" t="str">
        <x:f>IF(AND(L141="",M141="",N141="",Z141=""),"",IF(OR(M141&gt;=5,N141&lt;6,L141&gt;=8),"CZERWONY",IF(OR(M141&gt;=3,N141&lt;6.5,L141&gt;=7,Z141&lt;=4),"ŻÓŁTY","OK")))</x:f>
      </x:c>
      <x:c r="AB141" s="226" t="str">
        <x:f>IF(AA141="","",IF(AA141="OK","Realizuj plan normalnie.",IF(AA141="ŻÓŁTY","Skróć 10-30% albo zamień akcent na easy.", "STOP mocne bodźce: wolne/basen/Tacx Z1 48-72 h.")))</x:f>
      </x:c>
    </x:row>
    <x:row r="142">
      <x:c r="A142" s="71" t="n">
        <x:v>46416</x:v>
      </x:c>
      <x:c r="B142" s="72" t="str">
        <x:v>Piątek</x:v>
      </x:c>
      <x:c r="C142" s="72" t="str">
        <x:v>Tydzień 20 (Build 1)</x:v>
      </x:c>
      <x:c r="D142" s="72" t="str">
        <x:v>Więcej jakości na rowerze i kontrolowane zakładki</x:v>
      </x:c>
      <x:c r="E142" s="72" t="str">
        <x:v>WOLNE</x:v>
      </x:c>
      <x:c r="F142" s="72" t="str">
        <x:v>Pełna regeneracja. Zero nadrabiania. Sprawdź sen, RPE i ból.</x:v>
      </x:c>
      <x:c r="G142" s="72" t="str">
        <x:v>WOLNE</x:v>
      </x:c>
      <x:c r="H142" s="72" t="str">
        <x:v>Adaptacja</x:v>
      </x:c>
      <x:c r="I142" s="72" t="str">
        <x:v>Normalne śniadanie, bez wymuszonego ładowania.</x:v>
      </x:c>
      <x:c r="J142" s="72" t="str">
        <x:v>Warzywa + białko + spokojna porcja węgli.</x:v>
      </x:c>
      <x:c r="K142" s="72" t="str">
        <x:v>Lekko, prosto, sen ważniejszy niż idealne makro.</x:v>
      </x:c>
      <x:c r="L142" s="72"/>
      <x:c r="M142" s="72"/>
      <x:c r="N142" s="72"/>
      <x:c r="O142" s="72"/>
      <x:c r="P142" s="72"/>
      <x:c r="Q142" s="72" t="str">
        <x:v>Nie nadrabiaj zaległości. Regeneracja jest częścią planu.</x:v>
      </x:c>
      <x:c r="V142" s="227"/>
      <x:c r="W142" s="228"/>
      <x:c r="X142" s="226"/>
      <x:c r="Y142" s="229"/>
      <x:c r="Z142" s="227"/>
      <x:c r="AA142" s="226" t="str">
        <x:f>IF(AND(L142="",M142="",N142="",Z142=""),"",IF(OR(M142&gt;=5,N142&lt;6,L142&gt;=8),"CZERWONY",IF(OR(M142&gt;=3,N142&lt;6.5,L142&gt;=7,Z142&lt;=4),"ŻÓŁTY","OK")))</x:f>
      </x:c>
      <x:c r="AB142" s="226" t="str">
        <x:f>IF(AA142="","",IF(AA142="OK","Realizuj plan normalnie.",IF(AA142="ŻÓŁTY","Skróć 10-30% albo zamień akcent na easy.", "STOP mocne bodźce: wolne/basen/Tacx Z1 48-72 h.")))</x:f>
      </x:c>
    </x:row>
    <x:row r="143">
      <x:c r="A143" s="113" t="n">
        <x:v>46417</x:v>
      </x:c>
      <x:c r="B143" s="107" t="str">
        <x:v>Sobota</x:v>
      </x:c>
      <x:c r="C143" s="107" t="str">
        <x:v>Tydzień 20 (Build 1)</x:v>
      </x:c>
      <x:c r="D143" s="107" t="str">
        <x:v>Więcej jakości na rowerze i kontrolowane zakładki</x:v>
      </x:c>
      <x:c r="E143" s="107" t="str">
        <x:v>Rower długi + Zakładka T2</x:v>
      </x:c>
      <x:c r="F143" s="107" t="str">
        <x:v>150 min Z2 z kontrolą kadencji + 5 km T2 easy. Paliwo 60-80 g węgli/h.</x:v>
      </x:c>
      <x:c r="G143" s="107" t="str">
        <x:v>LONG</x:v>
      </x:c>
      <x:c r="H143" s="107" t="str">
        <x:v>Rower + adaptacja T2</x:v>
      </x:c>
      <x:c r="I143" s="107" t="str">
        <x:v>3 h przed: sprawdzony posiłek węglowodanowy; bez nowych produktów.</x:v>
      </x:c>
      <x:c r="J143" s="107" t="str">
        <x:v>Po treningu: ryż/ziemniaki + białko + sól/elektrolity.</x:v>
      </x:c>
      <x:c r="K143" s="107" t="str">
        <x:v>Kolacja regeneracyjna: węgle + białko + warzywa; uzupełnij płyny.</x:v>
      </x:c>
      <x:c r="L143" s="107"/>
      <x:c r="M143" s="107"/>
      <x:c r="N143" s="107"/>
      <x:c r="O143" s="107"/>
      <x:c r="P143" s="107"/>
      <x:c r="Q143" s="107" t="str">
        <x:v>Jeśli ból narasta lub RPE &gt;7 przed połową: skróć, nie nadrabiaj kilometrów.</x:v>
      </x:c>
      <x:c r="V143" s="227"/>
      <x:c r="W143" s="228"/>
      <x:c r="X143" s="226"/>
      <x:c r="Y143" s="229"/>
      <x:c r="Z143" s="227"/>
      <x:c r="AA143" s="226" t="str">
        <x:f>IF(AND(L143="",M143="",N143="",Z143=""),"",IF(OR(M143&gt;=5,N143&lt;6,L143&gt;=8),"CZERWONY",IF(OR(M143&gt;=3,N143&lt;6.5,L143&gt;=7,Z143&lt;=4),"ŻÓŁTY","OK")))</x:f>
      </x:c>
      <x:c r="AB143" s="226" t="str">
        <x:f>IF(AA143="","",IF(AA143="OK","Realizuj plan normalnie.",IF(AA143="ŻÓŁTY","Skróć 10-30% albo zamień akcent na easy.", "STOP mocne bodźce: wolne/basen/Tacx Z1 48-72 h.")))</x:f>
      </x:c>
    </x:row>
    <x:row r="144">
      <x:c r="A144" s="113" t="n">
        <x:v>46418</x:v>
      </x:c>
      <x:c r="B144" s="107" t="str">
        <x:v>Niedziela</x:v>
      </x:c>
      <x:c r="C144" s="107" t="str">
        <x:v>Tydzień 20 (Build 1)</x:v>
      </x:c>
      <x:c r="D144" s="107" t="str">
        <x:v>Więcej jakości na rowerze i kontrolowane zakładki</x:v>
      </x:c>
      <x:c r="E144" s="107" t="str">
        <x:v>Bieg długi easy</x:v>
      </x:c>
      <x:c r="F144" s="107" t="str">
        <x:v>14-16 km easy. Ostatnie 10 min steady tylko jeśli świeżo.</x:v>
      </x:c>
      <x:c r="G144" s="107" t="str">
        <x:v>LONG</x:v>
      </x:c>
      <x:c r="H144" s="107" t="str">
        <x:v>Wytrzymałość po rowerze</x:v>
      </x:c>
      <x:c r="I144" s="107" t="str">
        <x:v>3 h przed: sprawdzony posiłek węglowodanowy; bez nowych produktów.</x:v>
      </x:c>
      <x:c r="J144" s="107" t="str">
        <x:v>Po treningu: ryż/ziemniaki + białko + sól/elektrolity.</x:v>
      </x:c>
      <x:c r="K144" s="107" t="str">
        <x:v>Kolacja regeneracyjna: węgle + białko + warzywa; uzupełnij płyny.</x:v>
      </x:c>
      <x:c r="L144" s="107"/>
      <x:c r="M144" s="107"/>
      <x:c r="N144" s="107"/>
      <x:c r="O144" s="107"/>
      <x:c r="P144" s="107"/>
      <x:c r="Q144" s="107" t="str">
        <x:v>Jeśli ból narasta lub RPE &gt;7 przed połową: skróć, nie nadrabiaj kilometrów.</x:v>
      </x:c>
      <x:c r="V144" s="227"/>
      <x:c r="W144" s="228"/>
      <x:c r="X144" s="226"/>
      <x:c r="Y144" s="229"/>
      <x:c r="Z144" s="227"/>
      <x:c r="AA144" s="226" t="str">
        <x:f>IF(AND(L144="",M144="",N144="",Z144=""),"",IF(OR(M144&gt;=5,N144&lt;6,L144&gt;=8),"CZERWONY",IF(OR(M144&gt;=3,N144&lt;6.5,L144&gt;=7,Z144&lt;=4),"ŻÓŁTY","OK")))</x:f>
      </x:c>
      <x:c r="AB144" s="226" t="str">
        <x:f>IF(AA144="","",IF(AA144="OK","Realizuj plan normalnie.",IF(AA144="ŻÓŁTY","Skróć 10-30% albo zamień akcent na easy.", "STOP mocne bodźce: wolne/basen/Tacx Z1 48-72 h.")))</x:f>
      </x:c>
    </x:row>
    <x:row r="145" ht="26" customHeight="1">
      <x:c r="A145" s="148" t="n">
        <x:v>46419</x:v>
      </x:c>
      <x:c r="B145" s="149" t="str">
        <x:v>Poniedziałek</x:v>
      </x:c>
      <x:c r="C145" s="149" t="str">
        <x:v>Tydzień 21 (Build 1)</x:v>
      </x:c>
      <x:c r="D145" s="150" t="str">
        <x:v>Więcej jakości na rowerze i kontrolowane zakładki</x:v>
      </x:c>
      <x:c r="E145" s="150" t="str">
        <x:v>BASEN technika</x:v>
      </x:c>
      <x:c r="F145" s="150" t="str">
        <x:v>1800-2400 m: CSS 8-12x100 m albo 5x200 m, równe tempo, bez zajeżdżania. Zapisz średnie tempo/100 m.</x:v>
      </x:c>
      <x:c r="G145" s="150" t="str">
        <x:v>ŁATWY</x:v>
      </x:c>
      <x:c r="H145" s="150" t="str">
        <x:v>Progresja pływania/CSS</x:v>
      </x:c>
      <x:c r="I145" s="150" t="str">
        <x:v>Jajka lub jogurt/skyr + owoce; kawa spokojnie.</x:v>
      </x:c>
      <x:c r="J145" s="150" t="str">
        <x:v>Zupa/kasza/ryż + warzywa + białko; nawodnienie.</x:v>
      </x:c>
      <x:c r="K145" s="150" t="str">
        <x:v>Lekka kolacja: ryż/ziemniaki + ryba/tofu/jaja + warzywa.</x:v>
      </x:c>
      <x:c r="L145" s="150"/>
      <x:c r="M145" s="150"/>
      <x:c r="N145" s="150"/>
      <x:c r="O145" s="150"/>
      <x:c r="P145" s="150"/>
      <x:c r="Q145" s="150" t="str">
        <x:v>Jeśli technika się sypie: skróć odcinki, wydłuż przerwy, nie dokładaj metrów.</x:v>
      </x:c>
      <x:c r="R145" s="136" t="str">
        <x:v>LUTY 2027</x:v>
      </x:c>
      <x:c r="V145" s="227"/>
      <x:c r="W145" s="228"/>
      <x:c r="X145" s="226"/>
      <x:c r="Y145" s="229"/>
      <x:c r="Z145" s="227"/>
      <x:c r="AA145" s="226" t="str">
        <x:f>IF(AND(L145="",M145="",N145="",Z145=""),"",IF(OR(M145&gt;=5,N145&lt;6,L145&gt;=8),"CZERWONY",IF(OR(M145&gt;=3,N145&lt;6.5,L145&gt;=7,Z145&lt;=4),"ŻÓŁTY","OK")))</x:f>
      </x:c>
      <x:c r="AB145" s="226" t="str">
        <x:f>IF(AA145="","",IF(AA145="OK","Realizuj plan normalnie.",IF(AA145="ŻÓŁTY","Skróć 10-30% albo zamień akcent na easy.", "STOP mocne bodźce: wolne/basen/Tacx Z1 48-72 h.")))</x:f>
      </x:c>
    </x:row>
    <x:row r="146">
      <x:c r="A146" s="53" t="n">
        <x:v>46420</x:v>
      </x:c>
      <x:c r="B146" s="54" t="str">
        <x:v>Wtorek</x:v>
      </x:c>
      <x:c r="C146" s="54" t="str">
        <x:v>Tydzień 21 (Build 1)</x:v>
      </x:c>
      <x:c r="D146" s="54" t="str">
        <x:v>Więcej jakości na rowerze i kontrolowane zakładki</x:v>
      </x:c>
      <x:c r="E146" s="54" t="str">
        <x:v>Bieg jakościowy</x:v>
      </x:c>
      <x:c r="F146" s="54" t="str">
        <x:v>10-14 km: 3x2 km w tempie 70.3 4:55-5:05/km / 1 km easy.</x:v>
      </x:c>
      <x:c r="G146" s="54" t="str">
        <x:v>MP/RACE PACE</x:v>
      </x:c>
      <x:c r="H146" s="54" t="str">
        <x:v>Tempo po zmęczeniu</x:v>
      </x:c>
      <x:c r="I146" s="54" t="str">
        <x:v>2-3 h przed: kleik/ryż/wafle + miód/dżem; mało tłuszczu i błonnika.</x:v>
      </x:c>
      <x:c r="J146" s="54" t="str">
        <x:v>Ryż/ziemniaki/kasza + lekkie białko + warzywa.</x:v>
      </x:c>
      <x:c r="K146" s="54" t="str">
        <x:v>Po: 20-35 g białka + węgle; elektrolity.</x:v>
      </x:c>
      <x:c r="L146" s="54"/>
      <x:c r="M146" s="54"/>
      <x:c r="N146" s="54"/>
      <x:c r="O146" s="54"/>
      <x:c r="P146" s="54"/>
      <x:c r="Q146" s="54" t="str">
        <x:v>Jeśli ból ≥3/10 lub sen &lt;6 h: zamień na easy 30-45 min albo basen.</x:v>
      </x:c>
      <x:c r="V146" s="227"/>
      <x:c r="W146" s="228"/>
      <x:c r="X146" s="226"/>
      <x:c r="Y146" s="229"/>
      <x:c r="Z146" s="227"/>
      <x:c r="AA146" s="226" t="str">
        <x:f>IF(AND(L146="",M146="",N146="",Z146=""),"",IF(OR(M146&gt;=5,N146&lt;6,L146&gt;=8),"CZERWONY",IF(OR(M146&gt;=3,N146&lt;6.5,L146&gt;=7,Z146&lt;=4),"ŻÓŁTY","OK")))</x:f>
      </x:c>
      <x:c r="AB146" s="226" t="str">
        <x:f>IF(AA146="","",IF(AA146="OK","Realizuj plan normalnie.",IF(AA146="ŻÓŁTY","Skróć 10-30% albo zamień akcent na easy.", "STOP mocne bodźce: wolne/basen/Tacx Z1 48-72 h.")))</x:f>
      </x:c>
    </x:row>
    <x:row r="147">
      <x:c r="A147" s="53" t="n">
        <x:v>46421</x:v>
      </x:c>
      <x:c r="B147" s="54" t="str">
        <x:v>Środa</x:v>
      </x:c>
      <x:c r="C147" s="54" t="str">
        <x:v>Tydzień 21 (Build 1)</x:v>
      </x:c>
      <x:c r="D147" s="54" t="str">
        <x:v>Więcej jakości na rowerze i kontrolowane zakładki</x:v>
      </x:c>
      <x:c r="E147" s="54" t="str">
        <x:v>Tacx sweet spot / race pace</x:v>
      </x:c>
      <x:c r="F147" s="54" t="str">
        <x:v>80-100 min: 3x12-15 min 88-94% FTP lub 210-230 W; przerwy 5 min easy.</x:v>
      </x:c>
      <x:c r="G147" s="54" t="str">
        <x:v>MOCNY</x:v>
      </x:c>
      <x:c r="H147" s="54" t="str">
        <x:v>Moc pod 70.3</x:v>
      </x:c>
      <x:c r="I147" s="54" t="str">
        <x:v>2-3 h przed: kleik/ryż/wafle + miód/dżem; mało tłuszczu i błonnika.</x:v>
      </x:c>
      <x:c r="J147" s="54" t="str">
        <x:v>Ryż/ziemniaki/kasza + lekkie białko + warzywa.</x:v>
      </x:c>
      <x:c r="K147" s="54" t="str">
        <x:v>Po: 20-35 g białka + węgle; elektrolity.</x:v>
      </x:c>
      <x:c r="L147" s="54"/>
      <x:c r="M147" s="54"/>
      <x:c r="N147" s="54"/>
      <x:c r="O147" s="54"/>
      <x:c r="P147" s="54"/>
      <x:c r="Q147" s="54" t="str">
        <x:v>Jeśli ból ≥3/10 lub sen &lt;6 h: zamień na easy 30-45 min albo basen.</x:v>
      </x:c>
      <x:c r="V147" s="227"/>
      <x:c r="W147" s="228"/>
      <x:c r="X147" s="226"/>
      <x:c r="Y147" s="229"/>
      <x:c r="Z147" s="227"/>
      <x:c r="AA147" s="226" t="str">
        <x:f>IF(AND(L147="",M147="",N147="",Z147=""),"",IF(OR(M147&gt;=5,N147&lt;6,L147&gt;=8),"CZERWONY",IF(OR(M147&gt;=3,N147&lt;6.5,L147&gt;=7,Z147&lt;=4),"ŻÓŁTY","OK")))</x:f>
      </x:c>
      <x:c r="AB147" s="226" t="str">
        <x:f>IF(AA147="","",IF(AA147="OK","Realizuj plan normalnie.",IF(AA147="ŻÓŁTY","Skróć 10-30% albo zamień akcent na easy.", "STOP mocne bodźce: wolne/basen/Tacx Z1 48-72 h.")))</x:f>
      </x:c>
    </x:row>
    <x:row r="148">
      <x:c r="A148" s="77" t="n">
        <x:v>46422</x:v>
      </x:c>
      <x:c r="B148" s="78" t="str">
        <x:v>Czwartek</x:v>
      </x:c>
      <x:c r="C148" s="78" t="str">
        <x:v>Tydzień 21 (Build 1)</x:v>
      </x:c>
      <x:c r="D148" s="78" t="str">
        <x:v>Więcej jakości na rowerze i kontrolowane zakładki</x:v>
      </x:c>
      <x:c r="E148" s="78" t="str">
        <x:v>Bieg easy + BASEN</x:v>
      </x:c>
      <x:c r="F148" s="78" t="str">
        <x:v>RANO: 6-10 km easy + mobility. WIECZÓR: 1800-2400 m: CSS 8-12x100 m albo 5x200 m, równe tempo, bez zajeżdżania. Zapisz średnie tempo/100 m.</x:v>
      </x:c>
      <x:c r="G148" s="78" t="str">
        <x:v>ŁATWY</x:v>
      </x:c>
      <x:c r="H148" s="78" t="str">
        <x:v>Progresja pływania/CSS</x:v>
      </x:c>
      <x:c r="I148" s="78" t="str">
        <x:v>Jajka lub jogurt/skyr + owoce; kawa spokojnie.</x:v>
      </x:c>
      <x:c r="J148" s="78" t="str">
        <x:v>Zupa/kasza/ryż + warzywa + białko; nawodnienie.</x:v>
      </x:c>
      <x:c r="K148" s="78" t="str">
        <x:v>Lekka kolacja: ryż/ziemniaki + ryba/tofu/jaja + warzywa.</x:v>
      </x:c>
      <x:c r="L148" s="78"/>
      <x:c r="M148" s="78"/>
      <x:c r="N148" s="78"/>
      <x:c r="O148" s="78"/>
      <x:c r="P148" s="78"/>
      <x:c r="Q148" s="78" t="str">
        <x:v>Jeśli technika się sypie: skróć odcinki, wydłuż przerwy, nie dokładaj metrów.</x:v>
      </x:c>
      <x:c r="V148" s="227"/>
      <x:c r="W148" s="228"/>
      <x:c r="X148" s="226"/>
      <x:c r="Y148" s="229"/>
      <x:c r="Z148" s="227"/>
      <x:c r="AA148" s="226" t="str">
        <x:f>IF(AND(L148="",M148="",N148="",Z148=""),"",IF(OR(M148&gt;=5,N148&lt;6,L148&gt;=8),"CZERWONY",IF(OR(M148&gt;=3,N148&lt;6.5,L148&gt;=7,Z148&lt;=4),"ŻÓŁTY","OK")))</x:f>
      </x:c>
      <x:c r="AB148" s="226" t="str">
        <x:f>IF(AA148="","",IF(AA148="OK","Realizuj plan normalnie.",IF(AA148="ŻÓŁTY","Skróć 10-30% albo zamień akcent na easy.", "STOP mocne bodźce: wolne/basen/Tacx Z1 48-72 h.")))</x:f>
      </x:c>
    </x:row>
    <x:row r="149">
      <x:c r="A149" s="71" t="n">
        <x:v>46423</x:v>
      </x:c>
      <x:c r="B149" s="72" t="str">
        <x:v>Piątek</x:v>
      </x:c>
      <x:c r="C149" s="72" t="str">
        <x:v>Tydzień 21 (Build 1)</x:v>
      </x:c>
      <x:c r="D149" s="72" t="str">
        <x:v>Więcej jakości na rowerze i kontrolowane zakładki</x:v>
      </x:c>
      <x:c r="E149" s="72" t="str">
        <x:v>WOLNE</x:v>
      </x:c>
      <x:c r="F149" s="72" t="str">
        <x:v>Pełna regeneracja. Zero nadrabiania. Sprawdź sen, RPE i ból.</x:v>
      </x:c>
      <x:c r="G149" s="72" t="str">
        <x:v>WOLNE</x:v>
      </x:c>
      <x:c r="H149" s="72" t="str">
        <x:v>Adaptacja</x:v>
      </x:c>
      <x:c r="I149" s="72" t="str">
        <x:v>Normalne śniadanie, bez wymuszonego ładowania.</x:v>
      </x:c>
      <x:c r="J149" s="72" t="str">
        <x:v>Warzywa + białko + spokojna porcja węgli.</x:v>
      </x:c>
      <x:c r="K149" s="72" t="str">
        <x:v>Lekko, prosto, sen ważniejszy niż idealne makro.</x:v>
      </x:c>
      <x:c r="L149" s="72"/>
      <x:c r="M149" s="72"/>
      <x:c r="N149" s="72"/>
      <x:c r="O149" s="72"/>
      <x:c r="P149" s="72"/>
      <x:c r="Q149" s="72" t="str">
        <x:v>Nie nadrabiaj zaległości. Regeneracja jest częścią planu.</x:v>
      </x:c>
      <x:c r="V149" s="227"/>
      <x:c r="W149" s="228"/>
      <x:c r="X149" s="226"/>
      <x:c r="Y149" s="229"/>
      <x:c r="Z149" s="227"/>
      <x:c r="AA149" s="226" t="str">
        <x:f>IF(AND(L149="",M149="",N149="",Z149=""),"",IF(OR(M149&gt;=5,N149&lt;6,L149&gt;=8),"CZERWONY",IF(OR(M149&gt;=3,N149&lt;6.5,L149&gt;=7,Z149&lt;=4),"ŻÓŁTY","OK")))</x:f>
      </x:c>
      <x:c r="AB149" s="226" t="str">
        <x:f>IF(AA149="","",IF(AA149="OK","Realizuj plan normalnie.",IF(AA149="ŻÓŁTY","Skróć 10-30% albo zamień akcent na easy.", "STOP mocne bodźce: wolne/basen/Tacx Z1 48-72 h.")))</x:f>
      </x:c>
    </x:row>
    <x:row r="150">
      <x:c r="A150" s="113" t="n">
        <x:v>46424</x:v>
      </x:c>
      <x:c r="B150" s="107" t="str">
        <x:v>Sobota</x:v>
      </x:c>
      <x:c r="C150" s="107" t="str">
        <x:v>Tydzień 21 (Build 1)</x:v>
      </x:c>
      <x:c r="D150" s="107" t="str">
        <x:v>Więcej jakości na rowerze i kontrolowane zakładki</x:v>
      </x:c>
      <x:c r="E150" s="107" t="str">
        <x:v>Rower długi + Zakładka T2</x:v>
      </x:c>
      <x:c r="F150" s="107" t="str">
        <x:v>180 min Z2 z kontrolą kadencji + 7 km T2 easy. Paliwo 60-80 g węgli/h.</x:v>
      </x:c>
      <x:c r="G150" s="107" t="str">
        <x:v>LONG</x:v>
      </x:c>
      <x:c r="H150" s="107" t="str">
        <x:v>Rower + adaptacja T2</x:v>
      </x:c>
      <x:c r="I150" s="107" t="str">
        <x:v>3 h przed: sprawdzony posiłek węglowodanowy; bez nowych produktów.</x:v>
      </x:c>
      <x:c r="J150" s="107" t="str">
        <x:v>Po treningu: ryż/ziemniaki + białko + sól/elektrolity.</x:v>
      </x:c>
      <x:c r="K150" s="107" t="str">
        <x:v>Kolacja regeneracyjna: węgle + białko + warzywa; uzupełnij płyny.</x:v>
      </x:c>
      <x:c r="L150" s="107"/>
      <x:c r="M150" s="107"/>
      <x:c r="N150" s="107"/>
      <x:c r="O150" s="107"/>
      <x:c r="P150" s="107"/>
      <x:c r="Q150" s="107" t="str">
        <x:v>Jeśli ból narasta lub RPE &gt;7 przed połową: skróć, nie nadrabiaj kilometrów.</x:v>
      </x:c>
      <x:c r="V150" s="227"/>
      <x:c r="W150" s="228"/>
      <x:c r="X150" s="226"/>
      <x:c r="Y150" s="229"/>
      <x:c r="Z150" s="227"/>
      <x:c r="AA150" s="226" t="str">
        <x:f>IF(AND(L150="",M150="",N150="",Z150=""),"",IF(OR(M150&gt;=5,N150&lt;6,L150&gt;=8),"CZERWONY",IF(OR(M150&gt;=3,N150&lt;6.5,L150&gt;=7,Z150&lt;=4),"ŻÓŁTY","OK")))</x:f>
      </x:c>
      <x:c r="AB150" s="226" t="str">
        <x:f>IF(AA150="","",IF(AA150="OK","Realizuj plan normalnie.",IF(AA150="ŻÓŁTY","Skróć 10-30% albo zamień akcent na easy.", "STOP mocne bodźce: wolne/basen/Tacx Z1 48-72 h.")))</x:f>
      </x:c>
    </x:row>
    <x:row r="151">
      <x:c r="A151" s="113" t="n">
        <x:v>46425</x:v>
      </x:c>
      <x:c r="B151" s="107" t="str">
        <x:v>Niedziela</x:v>
      </x:c>
      <x:c r="C151" s="107" t="str">
        <x:v>Tydzień 21 (Build 1)</x:v>
      </x:c>
      <x:c r="D151" s="107" t="str">
        <x:v>Więcej jakości na rowerze i kontrolowane zakładki</x:v>
      </x:c>
      <x:c r="E151" s="107" t="str">
        <x:v>Bieg długi easy</x:v>
      </x:c>
      <x:c r="F151" s="107" t="str">
        <x:v>14-16 km easy. Ostatnie 10 min steady tylko jeśli świeżo.</x:v>
      </x:c>
      <x:c r="G151" s="107" t="str">
        <x:v>LONG</x:v>
      </x:c>
      <x:c r="H151" s="107" t="str">
        <x:v>Wytrzymałość po rowerze</x:v>
      </x:c>
      <x:c r="I151" s="107" t="str">
        <x:v>3 h przed: sprawdzony posiłek węglowodanowy; bez nowych produktów.</x:v>
      </x:c>
      <x:c r="J151" s="107" t="str">
        <x:v>Po treningu: ryż/ziemniaki + białko + sól/elektrolity.</x:v>
      </x:c>
      <x:c r="K151" s="107" t="str">
        <x:v>Kolacja regeneracyjna: węgle + białko + warzywa; uzupełnij płyny.</x:v>
      </x:c>
      <x:c r="L151" s="107"/>
      <x:c r="M151" s="107"/>
      <x:c r="N151" s="107"/>
      <x:c r="O151" s="107"/>
      <x:c r="P151" s="107"/>
      <x:c r="Q151" s="107" t="str">
        <x:v>Jeśli ból narasta lub RPE &gt;7 przed połową: skróć, nie nadrabiaj kilometrów.</x:v>
      </x:c>
      <x:c r="V151" s="227"/>
      <x:c r="W151" s="228"/>
      <x:c r="X151" s="226"/>
      <x:c r="Y151" s="229"/>
      <x:c r="Z151" s="227"/>
      <x:c r="AA151" s="226" t="str">
        <x:f>IF(AND(L151="",M151="",N151="",Z151=""),"",IF(OR(M151&gt;=5,N151&lt;6,L151&gt;=8),"CZERWONY",IF(OR(M151&gt;=3,N151&lt;6.5,L151&gt;=7,Z151&lt;=4),"ŻÓŁTY","OK")))</x:f>
      </x:c>
      <x:c r="AB151" s="226" t="str">
        <x:f>IF(AA151="","",IF(AA151="OK","Realizuj plan normalnie.",IF(AA151="ŻÓŁTY","Skróć 10-30% albo zamień akcent na easy.", "STOP mocne bodźce: wolne/basen/Tacx Z1 48-72 h.")))</x:f>
      </x:c>
    </x:row>
    <x:row r="152">
      <x:c r="A152" s="77" t="n">
        <x:v>46426</x:v>
      </x:c>
      <x:c r="B152" s="78" t="str">
        <x:v>Poniedziałek</x:v>
      </x:c>
      <x:c r="C152" s="78" t="str">
        <x:v>Tydzień 22 (Build 1)</x:v>
      </x:c>
      <x:c r="D152" s="78" t="str">
        <x:v>Więcej jakości na rowerze i kontrolowane zakładki</x:v>
      </x:c>
      <x:c r="E152" s="78" t="str">
        <x:v>BASEN technika</x:v>
      </x:c>
      <x:c r="F152" s="78" t="str">
        <x:v>1800-2400 m: CSS 8-12x100 m albo 5x200 m, równe tempo, bez zajeżdżania. Zapisz średnie tempo/100 m.</x:v>
      </x:c>
      <x:c r="G152" s="78" t="str">
        <x:v>ŁATWY</x:v>
      </x:c>
      <x:c r="H152" s="78" t="str">
        <x:v>Progresja pływania/CSS</x:v>
      </x:c>
      <x:c r="I152" s="78" t="str">
        <x:v>Jajka lub jogurt/skyr + owoce; kawa spokojnie.</x:v>
      </x:c>
      <x:c r="J152" s="78" t="str">
        <x:v>Zupa/kasza/ryż + warzywa + białko; nawodnienie.</x:v>
      </x:c>
      <x:c r="K152" s="78" t="str">
        <x:v>Lekka kolacja: ryż/ziemniaki + ryba/tofu/jaja + warzywa.</x:v>
      </x:c>
      <x:c r="L152" s="78"/>
      <x:c r="M152" s="78"/>
      <x:c r="N152" s="78"/>
      <x:c r="O152" s="78"/>
      <x:c r="P152" s="78"/>
      <x:c r="Q152" s="78" t="str">
        <x:v>Jeśli technika się sypie: skróć odcinki, wydłuż przerwy, nie dokładaj metrów.</x:v>
      </x:c>
      <x:c r="V152" s="227"/>
      <x:c r="W152" s="228"/>
      <x:c r="X152" s="226"/>
      <x:c r="Y152" s="229"/>
      <x:c r="Z152" s="227"/>
      <x:c r="AA152" s="226" t="str">
        <x:f>IF(AND(L152="",M152="",N152="",Z152=""),"",IF(OR(M152&gt;=5,N152&lt;6,L152&gt;=8),"CZERWONY",IF(OR(M152&gt;=3,N152&lt;6.5,L152&gt;=7,Z152&lt;=4),"ŻÓŁTY","OK")))</x:f>
      </x:c>
      <x:c r="AB152" s="226" t="str">
        <x:f>IF(AA152="","",IF(AA152="OK","Realizuj plan normalnie.",IF(AA152="ŻÓŁTY","Skróć 10-30% albo zamień akcent na easy.", "STOP mocne bodźce: wolne/basen/Tacx Z1 48-72 h.")))</x:f>
      </x:c>
    </x:row>
    <x:row r="153">
      <x:c r="A153" s="53" t="n">
        <x:v>46427</x:v>
      </x:c>
      <x:c r="B153" s="54" t="str">
        <x:v>Wtorek</x:v>
      </x:c>
      <x:c r="C153" s="54" t="str">
        <x:v>Tydzień 22 (Build 1)</x:v>
      </x:c>
      <x:c r="D153" s="54" t="str">
        <x:v>Więcej jakości na rowerze i kontrolowane zakładki</x:v>
      </x:c>
      <x:c r="E153" s="54" t="str">
        <x:v>Bieg jakościowy</x:v>
      </x:c>
      <x:c r="F153" s="54" t="str">
        <x:v>10-14 km: 3x2 km w tempie 70.3 4:55-5:05/km / 1 km easy.</x:v>
      </x:c>
      <x:c r="G153" s="54" t="str">
        <x:v>MP/RACE PACE</x:v>
      </x:c>
      <x:c r="H153" s="54" t="str">
        <x:v>Tempo po zmęczeniu</x:v>
      </x:c>
      <x:c r="I153" s="54" t="str">
        <x:v>2-3 h przed: kleik/ryż/wafle + miód/dżem; mało tłuszczu i błonnika.</x:v>
      </x:c>
      <x:c r="J153" s="54" t="str">
        <x:v>Ryż/ziemniaki/kasza + lekkie białko + warzywa.</x:v>
      </x:c>
      <x:c r="K153" s="54" t="str">
        <x:v>Po: 20-35 g białka + węgle; elektrolity.</x:v>
      </x:c>
      <x:c r="L153" s="54"/>
      <x:c r="M153" s="54"/>
      <x:c r="N153" s="54"/>
      <x:c r="O153" s="54"/>
      <x:c r="P153" s="54"/>
      <x:c r="Q153" s="54" t="str">
        <x:v>Jeśli ból ≥3/10 lub sen &lt;6 h: zamień na easy 30-45 min albo basen.</x:v>
      </x:c>
      <x:c r="V153" s="227"/>
      <x:c r="W153" s="228"/>
      <x:c r="X153" s="226"/>
      <x:c r="Y153" s="229"/>
      <x:c r="Z153" s="227"/>
      <x:c r="AA153" s="226" t="str">
        <x:f>IF(AND(L153="",M153="",N153="",Z153=""),"",IF(OR(M153&gt;=5,N153&lt;6,L153&gt;=8),"CZERWONY",IF(OR(M153&gt;=3,N153&lt;6.5,L153&gt;=7,Z153&lt;=4),"ŻÓŁTY","OK")))</x:f>
      </x:c>
      <x:c r="AB153" s="226" t="str">
        <x:f>IF(AA153="","",IF(AA153="OK","Realizuj plan normalnie.",IF(AA153="ŻÓŁTY","Skróć 10-30% albo zamień akcent na easy.", "STOP mocne bodźce: wolne/basen/Tacx Z1 48-72 h.")))</x:f>
      </x:c>
    </x:row>
    <x:row r="154">
      <x:c r="A154" s="53" t="n">
        <x:v>46428</x:v>
      </x:c>
      <x:c r="B154" s="54" t="str">
        <x:v>Środa</x:v>
      </x:c>
      <x:c r="C154" s="54" t="str">
        <x:v>Tydzień 22 (Build 1)</x:v>
      </x:c>
      <x:c r="D154" s="54" t="str">
        <x:v>Więcej jakości na rowerze i kontrolowane zakładki</x:v>
      </x:c>
      <x:c r="E154" s="54" t="str">
        <x:v>Tacx sweet spot / race pace</x:v>
      </x:c>
      <x:c r="F154" s="54" t="str">
        <x:v>80-100 min: 3x12-15 min 88-94% FTP lub 210-230 W; przerwy 5 min easy.</x:v>
      </x:c>
      <x:c r="G154" s="54" t="str">
        <x:v>MOCNY</x:v>
      </x:c>
      <x:c r="H154" s="54" t="str">
        <x:v>Moc pod 70.3</x:v>
      </x:c>
      <x:c r="I154" s="54" t="str">
        <x:v>2-3 h przed: kleik/ryż/wafle + miód/dżem; mało tłuszczu i błonnika.</x:v>
      </x:c>
      <x:c r="J154" s="54" t="str">
        <x:v>Ryż/ziemniaki/kasza + lekkie białko + warzywa.</x:v>
      </x:c>
      <x:c r="K154" s="54" t="str">
        <x:v>Po: 20-35 g białka + węgle; elektrolity.</x:v>
      </x:c>
      <x:c r="L154" s="54"/>
      <x:c r="M154" s="54"/>
      <x:c r="N154" s="54"/>
      <x:c r="O154" s="54"/>
      <x:c r="P154" s="54"/>
      <x:c r="Q154" s="54" t="str">
        <x:v>Jeśli ból ≥3/10 lub sen &lt;6 h: zamień na easy 30-45 min albo basen.</x:v>
      </x:c>
      <x:c r="V154" s="227"/>
      <x:c r="W154" s="228"/>
      <x:c r="X154" s="226"/>
      <x:c r="Y154" s="229"/>
      <x:c r="Z154" s="227"/>
      <x:c r="AA154" s="226" t="str">
        <x:f>IF(AND(L154="",M154="",N154="",Z154=""),"",IF(OR(M154&gt;=5,N154&lt;6,L154&gt;=8),"CZERWONY",IF(OR(M154&gt;=3,N154&lt;6.5,L154&gt;=7,Z154&lt;=4),"ŻÓŁTY","OK")))</x:f>
      </x:c>
      <x:c r="AB154" s="226" t="str">
        <x:f>IF(AA154="","",IF(AA154="OK","Realizuj plan normalnie.",IF(AA154="ŻÓŁTY","Skróć 10-30% albo zamień akcent na easy.", "STOP mocne bodźce: wolne/basen/Tacx Z1 48-72 h.")))</x:f>
      </x:c>
    </x:row>
    <x:row r="155">
      <x:c r="A155" s="77" t="n">
        <x:v>46429</x:v>
      </x:c>
      <x:c r="B155" s="78" t="str">
        <x:v>Czwartek</x:v>
      </x:c>
      <x:c r="C155" s="78" t="str">
        <x:v>Tydzień 22 (Build 1)</x:v>
      </x:c>
      <x:c r="D155" s="78" t="str">
        <x:v>Więcej jakości na rowerze i kontrolowane zakładki</x:v>
      </x:c>
      <x:c r="E155" s="78" t="str">
        <x:v>Bieg easy + BASEN</x:v>
      </x:c>
      <x:c r="F155" s="78" t="str">
        <x:v>RANO: 6-10 km easy + mobility. WIECZÓR: 1800-2400 m: CSS 8-12x100 m albo 5x200 m, równe tempo, bez zajeżdżania. Zapisz średnie tempo/100 m.</x:v>
      </x:c>
      <x:c r="G155" s="78" t="str">
        <x:v>ŁATWY</x:v>
      </x:c>
      <x:c r="H155" s="78" t="str">
        <x:v>Progresja pływania/CSS</x:v>
      </x:c>
      <x:c r="I155" s="78" t="str">
        <x:v>Jajka lub jogurt/skyr + owoce; kawa spokojnie.</x:v>
      </x:c>
      <x:c r="J155" s="78" t="str">
        <x:v>Zupa/kasza/ryż + warzywa + białko; nawodnienie.</x:v>
      </x:c>
      <x:c r="K155" s="78" t="str">
        <x:v>Lekka kolacja: ryż/ziemniaki + ryba/tofu/jaja + warzywa.</x:v>
      </x:c>
      <x:c r="L155" s="78"/>
      <x:c r="M155" s="78"/>
      <x:c r="N155" s="78"/>
      <x:c r="O155" s="78"/>
      <x:c r="P155" s="78"/>
      <x:c r="Q155" s="78" t="str">
        <x:v>Jeśli technika się sypie: skróć odcinki, wydłuż przerwy, nie dokładaj metrów.</x:v>
      </x:c>
      <x:c r="V155" s="227"/>
      <x:c r="W155" s="228"/>
      <x:c r="X155" s="226"/>
      <x:c r="Y155" s="229"/>
      <x:c r="Z155" s="227"/>
      <x:c r="AA155" s="226" t="str">
        <x:f>IF(AND(L155="",M155="",N155="",Z155=""),"",IF(OR(M155&gt;=5,N155&lt;6,L155&gt;=8),"CZERWONY",IF(OR(M155&gt;=3,N155&lt;6.5,L155&gt;=7,Z155&lt;=4),"ŻÓŁTY","OK")))</x:f>
      </x:c>
      <x:c r="AB155" s="226" t="str">
        <x:f>IF(AA155="","",IF(AA155="OK","Realizuj plan normalnie.",IF(AA155="ŻÓŁTY","Skróć 10-30% albo zamień akcent na easy.", "STOP mocne bodźce: wolne/basen/Tacx Z1 48-72 h.")))</x:f>
      </x:c>
    </x:row>
    <x:row r="156">
      <x:c r="A156" s="71" t="n">
        <x:v>46430</x:v>
      </x:c>
      <x:c r="B156" s="72" t="str">
        <x:v>Piątek</x:v>
      </x:c>
      <x:c r="C156" s="72" t="str">
        <x:v>Tydzień 22 (Build 1)</x:v>
      </x:c>
      <x:c r="D156" s="72" t="str">
        <x:v>Więcej jakości na rowerze i kontrolowane zakładki</x:v>
      </x:c>
      <x:c r="E156" s="72" t="str">
        <x:v>WOLNE</x:v>
      </x:c>
      <x:c r="F156" s="72" t="str">
        <x:v>Pełna regeneracja. Zero nadrabiania. Sprawdź sen, RPE i ból.</x:v>
      </x:c>
      <x:c r="G156" s="72" t="str">
        <x:v>WOLNE</x:v>
      </x:c>
      <x:c r="H156" s="72" t="str">
        <x:v>Adaptacja</x:v>
      </x:c>
      <x:c r="I156" s="72" t="str">
        <x:v>Normalne śniadanie, bez wymuszonego ładowania.</x:v>
      </x:c>
      <x:c r="J156" s="72" t="str">
        <x:v>Warzywa + białko + spokojna porcja węgli.</x:v>
      </x:c>
      <x:c r="K156" s="72" t="str">
        <x:v>Lekko, prosto, sen ważniejszy niż idealne makro.</x:v>
      </x:c>
      <x:c r="L156" s="72"/>
      <x:c r="M156" s="72"/>
      <x:c r="N156" s="72"/>
      <x:c r="O156" s="72"/>
      <x:c r="P156" s="72"/>
      <x:c r="Q156" s="72" t="str">
        <x:v>Nie nadrabiaj zaległości. Regeneracja jest częścią planu.</x:v>
      </x:c>
      <x:c r="V156" s="227"/>
      <x:c r="W156" s="228"/>
      <x:c r="X156" s="226"/>
      <x:c r="Y156" s="229"/>
      <x:c r="Z156" s="227"/>
      <x:c r="AA156" s="226" t="str">
        <x:f>IF(AND(L156="",M156="",N156="",Z156=""),"",IF(OR(M156&gt;=5,N156&lt;6,L156&gt;=8),"CZERWONY",IF(OR(M156&gt;=3,N156&lt;6.5,L156&gt;=7,Z156&lt;=4),"ŻÓŁTY","OK")))</x:f>
      </x:c>
      <x:c r="AB156" s="226" t="str">
        <x:f>IF(AA156="","",IF(AA156="OK","Realizuj plan normalnie.",IF(AA156="ŻÓŁTY","Skróć 10-30% albo zamień akcent na easy.", "STOP mocne bodźce: wolne/basen/Tacx Z1 48-72 h.")))</x:f>
      </x:c>
    </x:row>
    <x:row r="157">
      <x:c r="A157" s="113" t="n">
        <x:v>46431</x:v>
      </x:c>
      <x:c r="B157" s="107" t="str">
        <x:v>Sobota</x:v>
      </x:c>
      <x:c r="C157" s="107" t="str">
        <x:v>Tydzień 22 (Build 1)</x:v>
      </x:c>
      <x:c r="D157" s="107" t="str">
        <x:v>Więcej jakości na rowerze i kontrolowane zakładki</x:v>
      </x:c>
      <x:c r="E157" s="107" t="str">
        <x:v>Rower długi + Zakładka T2</x:v>
      </x:c>
      <x:c r="F157" s="107" t="str">
        <x:v>210 min Z2 z kontrolą kadencji + 8 km T2 easy. Paliwo 60-80 g węgli/h.</x:v>
      </x:c>
      <x:c r="G157" s="107" t="str">
        <x:v>LONG</x:v>
      </x:c>
      <x:c r="H157" s="107" t="str">
        <x:v>Rower + adaptacja T2</x:v>
      </x:c>
      <x:c r="I157" s="107" t="str">
        <x:v>3 h przed: sprawdzony posiłek węglowodanowy; bez nowych produktów.</x:v>
      </x:c>
      <x:c r="J157" s="107" t="str">
        <x:v>Po treningu: ryż/ziemniaki + białko + sól/elektrolity.</x:v>
      </x:c>
      <x:c r="K157" s="107" t="str">
        <x:v>Kolacja regeneracyjna: węgle + białko + warzywa; uzupełnij płyny.</x:v>
      </x:c>
      <x:c r="L157" s="107"/>
      <x:c r="M157" s="107"/>
      <x:c r="N157" s="107"/>
      <x:c r="O157" s="107"/>
      <x:c r="P157" s="107"/>
      <x:c r="Q157" s="107" t="str">
        <x:v>Jeśli ból narasta lub RPE &gt;7 przed połową: skróć, nie nadrabiaj kilometrów.</x:v>
      </x:c>
      <x:c r="V157" s="227"/>
      <x:c r="W157" s="228"/>
      <x:c r="X157" s="226"/>
      <x:c r="Y157" s="229"/>
      <x:c r="Z157" s="227"/>
      <x:c r="AA157" s="226" t="str">
        <x:f>IF(AND(L157="",M157="",N157="",Z157=""),"",IF(OR(M157&gt;=5,N157&lt;6,L157&gt;=8),"CZERWONY",IF(OR(M157&gt;=3,N157&lt;6.5,L157&gt;=7,Z157&lt;=4),"ŻÓŁTY","OK")))</x:f>
      </x:c>
      <x:c r="AB157" s="226" t="str">
        <x:f>IF(AA157="","",IF(AA157="OK","Realizuj plan normalnie.",IF(AA157="ŻÓŁTY","Skróć 10-30% albo zamień akcent na easy.", "STOP mocne bodźce: wolne/basen/Tacx Z1 48-72 h.")))</x:f>
      </x:c>
    </x:row>
    <x:row r="158">
      <x:c r="A158" s="113" t="n">
        <x:v>46432</x:v>
      </x:c>
      <x:c r="B158" s="107" t="str">
        <x:v>Niedziela</x:v>
      </x:c>
      <x:c r="C158" s="107" t="str">
        <x:v>Tydzień 22 (Build 1)</x:v>
      </x:c>
      <x:c r="D158" s="107" t="str">
        <x:v>Więcej jakości na rowerze i kontrolowane zakładki</x:v>
      </x:c>
      <x:c r="E158" s="107" t="str">
        <x:v>Bieg długi easy</x:v>
      </x:c>
      <x:c r="F158" s="107" t="str">
        <x:v>14-16 km easy. Ostatnie 10 min steady tylko jeśli świeżo.</x:v>
      </x:c>
      <x:c r="G158" s="107" t="str">
        <x:v>LONG</x:v>
      </x:c>
      <x:c r="H158" s="107" t="str">
        <x:v>Wytrzymałość po rowerze</x:v>
      </x:c>
      <x:c r="I158" s="107" t="str">
        <x:v>3 h przed: sprawdzony posiłek węglowodanowy; bez nowych produktów.</x:v>
      </x:c>
      <x:c r="J158" s="107" t="str">
        <x:v>Po treningu: ryż/ziemniaki + białko + sól/elektrolity.</x:v>
      </x:c>
      <x:c r="K158" s="107" t="str">
        <x:v>Kolacja regeneracyjna: węgle + białko + warzywa; uzupełnij płyny.</x:v>
      </x:c>
      <x:c r="L158" s="107"/>
      <x:c r="M158" s="107"/>
      <x:c r="N158" s="107"/>
      <x:c r="O158" s="107"/>
      <x:c r="P158" s="107"/>
      <x:c r="Q158" s="107" t="str">
        <x:v>Jeśli ból narasta lub RPE &gt;7 przed połową: skróć, nie nadrabiaj kilometrów.</x:v>
      </x:c>
      <x:c r="V158" s="227"/>
      <x:c r="W158" s="228"/>
      <x:c r="X158" s="226"/>
      <x:c r="Y158" s="229"/>
      <x:c r="Z158" s="227"/>
      <x:c r="AA158" s="226" t="str">
        <x:f>IF(AND(L158="",M158="",N158="",Z158=""),"",IF(OR(M158&gt;=5,N158&lt;6,L158&gt;=8),"CZERWONY",IF(OR(M158&gt;=3,N158&lt;6.5,L158&gt;=7,Z158&lt;=4),"ŻÓŁTY","OK")))</x:f>
      </x:c>
      <x:c r="AB158" s="226" t="str">
        <x:f>IF(AA158="","",IF(AA158="OK","Realizuj plan normalnie.",IF(AA158="ŻÓŁTY","Skróć 10-30% albo zamień akcent na easy.", "STOP mocne bodźce: wolne/basen/Tacx Z1 48-72 h.")))</x:f>
      </x:c>
    </x:row>
    <x:row r="159">
      <x:c r="A159" s="77" t="n">
        <x:v>46433</x:v>
      </x:c>
      <x:c r="B159" s="78" t="str">
        <x:v>Poniedziałek</x:v>
      </x:c>
      <x:c r="C159" s="78" t="str">
        <x:v>Tydzień 23 (Build 1)</x:v>
      </x:c>
      <x:c r="D159" s="78" t="str">
        <x:v>Więcej jakości na rowerze i kontrolowane zakładki</x:v>
      </x:c>
      <x:c r="E159" s="78" t="str">
        <x:v>BASEN technika</x:v>
      </x:c>
      <x:c r="F159" s="78" t="str">
        <x:v>1800-2400 m: CSS 8-12x100 m albo 5x200 m, równe tempo, bez zajeżdżania. Zapisz średnie tempo/100 m.</x:v>
      </x:c>
      <x:c r="G159" s="78" t="str">
        <x:v>ŁATWY</x:v>
      </x:c>
      <x:c r="H159" s="78" t="str">
        <x:v>Progresja pływania/CSS</x:v>
      </x:c>
      <x:c r="I159" s="78" t="str">
        <x:v>Jajka lub jogurt/skyr + owoce; kawa spokojnie.</x:v>
      </x:c>
      <x:c r="J159" s="78" t="str">
        <x:v>Zupa/kasza/ryż + warzywa + białko; nawodnienie.</x:v>
      </x:c>
      <x:c r="K159" s="78" t="str">
        <x:v>Lekka kolacja: ryż/ziemniaki + ryba/tofu/jaja + warzywa.</x:v>
      </x:c>
      <x:c r="L159" s="78"/>
      <x:c r="M159" s="78"/>
      <x:c r="N159" s="78"/>
      <x:c r="O159" s="78"/>
      <x:c r="P159" s="78"/>
      <x:c r="Q159" s="78" t="str">
        <x:v>Jeśli technika się sypie: skróć odcinki, wydłuż przerwy, nie dokładaj metrów.</x:v>
      </x:c>
      <x:c r="V159" s="227"/>
      <x:c r="W159" s="228"/>
      <x:c r="X159" s="226"/>
      <x:c r="Y159" s="229"/>
      <x:c r="Z159" s="227"/>
      <x:c r="AA159" s="226" t="str">
        <x:f>IF(AND(L159="",M159="",N159="",Z159=""),"",IF(OR(M159&gt;=5,N159&lt;6,L159&gt;=8),"CZERWONY",IF(OR(M159&gt;=3,N159&lt;6.5,L159&gt;=7,Z159&lt;=4),"ŻÓŁTY","OK")))</x:f>
      </x:c>
      <x:c r="AB159" s="226" t="str">
        <x:f>IF(AA159="","",IF(AA159="OK","Realizuj plan normalnie.",IF(AA159="ŻÓŁTY","Skróć 10-30% albo zamień akcent na easy.", "STOP mocne bodźce: wolne/basen/Tacx Z1 48-72 h.")))</x:f>
      </x:c>
    </x:row>
    <x:row r="160">
      <x:c r="A160" s="113" t="n">
        <x:v>46434</x:v>
      </x:c>
      <x:c r="B160" s="107" t="str">
        <x:v>Wtorek</x:v>
      </x:c>
      <x:c r="C160" s="107" t="str">
        <x:v>Tydzień 23 (Build 1)</x:v>
      </x:c>
      <x:c r="D160" s="107" t="str">
        <x:v>Więcej jakości na rowerze i kontrolowane zakładki</x:v>
      </x:c>
      <x:c r="E160" s="107" t="str">
        <x:v>Bieg easy + rytmy</x:v>
      </x:c>
      <x:c r="F160" s="107" t="str">
        <x:v>6-8 km easy + 4x20 s rytmy tylko jeśli świeżo. Tydzień lżejszy.</x:v>
      </x:c>
      <x:c r="G160" s="107" t="str">
        <x:v>REGENERACJA</x:v>
      </x:c>
      <x:c r="H160" s="107" t="str">
        <x:v>Odświeżenie</x:v>
      </x:c>
      <x:c r="I160" s="107" t="str">
        <x:v>Normalne śniadanie, bez wymuszonego ładowania.</x:v>
      </x:c>
      <x:c r="J160" s="107" t="str">
        <x:v>Warzywa + białko + spokojna porcja węgli.</x:v>
      </x:c>
      <x:c r="K160" s="107" t="str">
        <x:v>Lekko, prosto, sen ważniejszy niż idealne makro.</x:v>
      </x:c>
      <x:c r="L160" s="107"/>
      <x:c r="M160" s="107"/>
      <x:c r="N160" s="107"/>
      <x:c r="O160" s="107"/>
      <x:c r="P160" s="107"/>
      <x:c r="Q160" s="107" t="str">
        <x:v>Nie nadrabiaj zaległości. Regeneracja jest częścią planu.</x:v>
      </x:c>
      <x:c r="V160" s="227"/>
      <x:c r="W160" s="228"/>
      <x:c r="X160" s="226"/>
      <x:c r="Y160" s="229"/>
      <x:c r="Z160" s="227"/>
      <x:c r="AA160" s="226" t="str">
        <x:f>IF(AND(L160="",M160="",N160="",Z160=""),"",IF(OR(M160&gt;=5,N160&lt;6,L160&gt;=8),"CZERWONY",IF(OR(M160&gt;=3,N160&lt;6.5,L160&gt;=7,Z160&lt;=4),"ŻÓŁTY","OK")))</x:f>
      </x:c>
      <x:c r="AB160" s="226" t="str">
        <x:f>IF(AA160="","",IF(AA160="OK","Realizuj plan normalnie.",IF(AA160="ŻÓŁTY","Skróć 10-30% albo zamień akcent na easy.", "STOP mocne bodźce: wolne/basen/Tacx Z1 48-72 h.")))</x:f>
      </x:c>
    </x:row>
    <x:row r="161">
      <x:c r="A161" s="113" t="n">
        <x:v>46435</x:v>
      </x:c>
      <x:c r="B161" s="107" t="str">
        <x:v>Środa</x:v>
      </x:c>
      <x:c r="C161" s="107" t="str">
        <x:v>Tydzień 23 (Build 1)</x:v>
      </x:c>
      <x:c r="D161" s="107" t="str">
        <x:v>Więcej jakości na rowerze i kontrolowane zakładki</x:v>
      </x:c>
      <x:c r="E161" s="107" t="str">
        <x:v>Tacx regeneracyjny</x:v>
      </x:c>
      <x:c r="F161" s="107" t="str">
        <x:v>45-60 min Z1/Z2 135-165 W. STAŁY limit regeneracji: bez skalowania minut, bez sweet spot.</x:v>
      </x:c>
      <x:c r="G161" s="107" t="str">
        <x:v>REGENERACJA</x:v>
      </x:c>
      <x:c r="H161" s="107" t="str">
        <x:v>Odświeżenie</x:v>
      </x:c>
      <x:c r="I161" s="107" t="str">
        <x:v>Normalne śniadanie, bez wymuszonego ładowania.</x:v>
      </x:c>
      <x:c r="J161" s="107" t="str">
        <x:v>Warzywa + białko + spokojna porcja węgli.</x:v>
      </x:c>
      <x:c r="K161" s="107" t="str">
        <x:v>Lekko, prosto, sen ważniejszy niż idealne makro.</x:v>
      </x:c>
      <x:c r="L161" s="107"/>
      <x:c r="M161" s="107"/>
      <x:c r="N161" s="107"/>
      <x:c r="O161" s="107"/>
      <x:c r="P161" s="107"/>
      <x:c r="Q161" s="107" t="str">
        <x:v>Nie nadrabiaj zaległości. Regeneracja jest częścią planu.</x:v>
      </x:c>
      <x:c r="V161" s="227"/>
      <x:c r="W161" s="228"/>
      <x:c r="X161" s="226"/>
      <x:c r="Y161" s="229"/>
      <x:c r="Z161" s="227"/>
      <x:c r="AA161" s="226" t="str">
        <x:f>IF(AND(L161="",M161="",N161="",Z161=""),"",IF(OR(M161&gt;=5,N161&lt;6,L161&gt;=8),"CZERWONY",IF(OR(M161&gt;=3,N161&lt;6.5,L161&gt;=7,Z161&lt;=4),"ŻÓŁTY","OK")))</x:f>
      </x:c>
      <x:c r="AB161" s="226" t="str">
        <x:f>IF(AA161="","",IF(AA161="OK","Realizuj plan normalnie.",IF(AA161="ŻÓŁTY","Skróć 10-30% albo zamień akcent na easy.", "STOP mocne bodźce: wolne/basen/Tacx Z1 48-72 h.")))</x:f>
      </x:c>
    </x:row>
    <x:row r="162">
      <x:c r="A162" s="77" t="n">
        <x:v>46436</x:v>
      </x:c>
      <x:c r="B162" s="78" t="str">
        <x:v>Czwartek</x:v>
      </x:c>
      <x:c r="C162" s="78" t="str">
        <x:v>Tydzień 23 (Build 1)</x:v>
      </x:c>
      <x:c r="D162" s="78" t="str">
        <x:v>Więcej jakości na rowerze i kontrolowane zakładki</x:v>
      </x:c>
      <x:c r="E162" s="78" t="str">
        <x:v>Bieg easy + BASEN</x:v>
      </x:c>
      <x:c r="F162" s="78" t="str">
        <x:v>RANO: 6-10 km easy + mobility. WIECZÓR: 1800-2400 m: CSS 8-12x100 m albo 5x200 m, równe tempo, bez zajeżdżania. Zapisz średnie tempo/100 m.</x:v>
      </x:c>
      <x:c r="G162" s="78" t="str">
        <x:v>ŁATWY</x:v>
      </x:c>
      <x:c r="H162" s="78" t="str">
        <x:v>Progresja pływania/CSS</x:v>
      </x:c>
      <x:c r="I162" s="78" t="str">
        <x:v>Jajka lub jogurt/skyr + owoce; kawa spokojnie.</x:v>
      </x:c>
      <x:c r="J162" s="78" t="str">
        <x:v>Zupa/kasza/ryż + warzywa + białko; nawodnienie.</x:v>
      </x:c>
      <x:c r="K162" s="78" t="str">
        <x:v>Lekka kolacja: ryż/ziemniaki + ryba/tofu/jaja + warzywa.</x:v>
      </x:c>
      <x:c r="L162" s="78"/>
      <x:c r="M162" s="78"/>
      <x:c r="N162" s="78"/>
      <x:c r="O162" s="78"/>
      <x:c r="P162" s="78"/>
      <x:c r="Q162" s="78" t="str">
        <x:v>Jeśli technika się sypie: skróć odcinki, wydłuż przerwy, nie dokładaj metrów.</x:v>
      </x:c>
      <x:c r="V162" s="227"/>
      <x:c r="W162" s="228"/>
      <x:c r="X162" s="226"/>
      <x:c r="Y162" s="229"/>
      <x:c r="Z162" s="227"/>
      <x:c r="AA162" s="226" t="str">
        <x:f>IF(AND(L162="",M162="",N162="",Z162=""),"",IF(OR(M162&gt;=5,N162&lt;6,L162&gt;=8),"CZERWONY",IF(OR(M162&gt;=3,N162&lt;6.5,L162&gt;=7,Z162&lt;=4),"ŻÓŁTY","OK")))</x:f>
      </x:c>
      <x:c r="AB162" s="226" t="str">
        <x:f>IF(AA162="","",IF(AA162="OK","Realizuj plan normalnie.",IF(AA162="ŻÓŁTY","Skróć 10-30% albo zamień akcent na easy.", "STOP mocne bodźce: wolne/basen/Tacx Z1 48-72 h.")))</x:f>
      </x:c>
    </x:row>
    <x:row r="163">
      <x:c r="A163" s="71" t="n">
        <x:v>46437</x:v>
      </x:c>
      <x:c r="B163" s="72" t="str">
        <x:v>Piątek</x:v>
      </x:c>
      <x:c r="C163" s="72" t="str">
        <x:v>Tydzień 23 (Build 1)</x:v>
      </x:c>
      <x:c r="D163" s="72" t="str">
        <x:v>Więcej jakości na rowerze i kontrolowane zakładki</x:v>
      </x:c>
      <x:c r="E163" s="72" t="str">
        <x:v>WOLNE</x:v>
      </x:c>
      <x:c r="F163" s="72" t="str">
        <x:v>Pełna regeneracja. Zero nadrabiania. Sprawdź sen, RPE i ból.</x:v>
      </x:c>
      <x:c r="G163" s="72" t="str">
        <x:v>WOLNE</x:v>
      </x:c>
      <x:c r="H163" s="72" t="str">
        <x:v>Adaptacja</x:v>
      </x:c>
      <x:c r="I163" s="72" t="str">
        <x:v>Normalne śniadanie, bez wymuszonego ładowania.</x:v>
      </x:c>
      <x:c r="J163" s="72" t="str">
        <x:v>Warzywa + białko + spokojna porcja węgli.</x:v>
      </x:c>
      <x:c r="K163" s="72" t="str">
        <x:v>Lekko, prosto, sen ważniejszy niż idealne makro.</x:v>
      </x:c>
      <x:c r="L163" s="72"/>
      <x:c r="M163" s="72"/>
      <x:c r="N163" s="72"/>
      <x:c r="O163" s="72"/>
      <x:c r="P163" s="72"/>
      <x:c r="Q163" s="72" t="str">
        <x:v>Nie nadrabiaj zaległości. Regeneracja jest częścią planu.</x:v>
      </x:c>
      <x:c r="V163" s="227"/>
      <x:c r="W163" s="228"/>
      <x:c r="X163" s="226"/>
      <x:c r="Y163" s="229"/>
      <x:c r="Z163" s="227"/>
      <x:c r="AA163" s="226" t="str">
        <x:f>IF(AND(L163="",M163="",N163="",Z163=""),"",IF(OR(M163&gt;=5,N163&lt;6,L163&gt;=8),"CZERWONY",IF(OR(M163&gt;=3,N163&lt;6.5,L163&gt;=7,Z163&lt;=4),"ŻÓŁTY","OK")))</x:f>
      </x:c>
      <x:c r="AB163" s="226" t="str">
        <x:f>IF(AA163="","",IF(AA163="OK","Realizuj plan normalnie.",IF(AA163="ŻÓŁTY","Skróć 10-30% albo zamień akcent na easy.", "STOP mocne bodźce: wolne/basen/Tacx Z1 48-72 h.")))</x:f>
      </x:c>
    </x:row>
    <x:row r="164">
      <x:c r="A164" s="113" t="n">
        <x:v>46438</x:v>
      </x:c>
      <x:c r="B164" s="107" t="str">
        <x:v>Sobota</x:v>
      </x:c>
      <x:c r="C164" s="107" t="str">
        <x:v>Tydzień 23 (Build 1)</x:v>
      </x:c>
      <x:c r="D164" s="107" t="str">
        <x:v>Więcej jakości na rowerze i kontrolowane zakładki</x:v>
      </x:c>
      <x:c r="E164" s="107" t="str">
        <x:v>Rower regeneracyjny</x:v>
      </x:c>
      <x:c r="F164" s="107" t="str">
        <x:v>45-60 min Z1/Z2. Bez T2. To jest prawdziwy tydzień regeneracyjny.</x:v>
      </x:c>
      <x:c r="G164" s="107" t="str">
        <x:v>REGENERACJA</x:v>
      </x:c>
      <x:c r="H164" s="107" t="str">
        <x:v>Zrzut zmęczenia</x:v>
      </x:c>
      <x:c r="I164" s="107" t="str">
        <x:v>Normalne śniadanie, bez wymuszonego ładowania.</x:v>
      </x:c>
      <x:c r="J164" s="107" t="str">
        <x:v>Warzywa + białko + spokojna porcja węgli.</x:v>
      </x:c>
      <x:c r="K164" s="107" t="str">
        <x:v>Lekko, prosto, sen ważniejszy niż idealne makro.</x:v>
      </x:c>
      <x:c r="L164" s="107"/>
      <x:c r="M164" s="107"/>
      <x:c r="N164" s="107"/>
      <x:c r="O164" s="107"/>
      <x:c r="P164" s="107"/>
      <x:c r="Q164" s="107" t="str">
        <x:v>Nie nadrabiaj zaległości. Regeneracja jest częścią planu.</x:v>
      </x:c>
      <x:c r="V164" s="227"/>
      <x:c r="W164" s="228"/>
      <x:c r="X164" s="226"/>
      <x:c r="Y164" s="229"/>
      <x:c r="Z164" s="227"/>
      <x:c r="AA164" s="226" t="str">
        <x:f>IF(AND(L164="",M164="",N164="",Z164=""),"",IF(OR(M164&gt;=5,N164&lt;6,L164&gt;=8),"CZERWONY",IF(OR(M164&gt;=3,N164&lt;6.5,L164&gt;=7,Z164&lt;=4),"ŻÓŁTY","OK")))</x:f>
      </x:c>
      <x:c r="AB164" s="226" t="str">
        <x:f>IF(AA164="","",IF(AA164="OK","Realizuj plan normalnie.",IF(AA164="ŻÓŁTY","Skróć 10-30% albo zamień akcent na easy.", "STOP mocne bodźce: wolne/basen/Tacx Z1 48-72 h.")))</x:f>
      </x:c>
    </x:row>
    <x:row r="165">
      <x:c r="A165" s="113" t="n">
        <x:v>46439</x:v>
      </x:c>
      <x:c r="B165" s="107" t="str">
        <x:v>Niedziela</x:v>
      </x:c>
      <x:c r="C165" s="107" t="str">
        <x:v>Tydzień 23 (Build 1)</x:v>
      </x:c>
      <x:c r="D165" s="107" t="str">
        <x:v>Więcej jakości na rowerze i kontrolowane zakładki</x:v>
      </x:c>
      <x:c r="E165" s="107" t="str">
        <x:v>Bieg easy krótki</x:v>
      </x:c>
      <x:c r="F165" s="107" t="str">
        <x:v>6-10 km easy 5:45-6:15/km. Tydzień lżejszy, bez ambicji.</x:v>
      </x:c>
      <x:c r="G165" s="107" t="str">
        <x:v>REGENERACJA</x:v>
      </x:c>
      <x:c r="H165" s="107" t="str">
        <x:v>Odświeżenie</x:v>
      </x:c>
      <x:c r="I165" s="107" t="str">
        <x:v>Normalne śniadanie, bez wymuszonego ładowania.</x:v>
      </x:c>
      <x:c r="J165" s="107" t="str">
        <x:v>Warzywa + białko + spokojna porcja węgli.</x:v>
      </x:c>
      <x:c r="K165" s="107" t="str">
        <x:v>Lekko, prosto, sen ważniejszy niż idealne makro.</x:v>
      </x:c>
      <x:c r="L165" s="107"/>
      <x:c r="M165" s="107"/>
      <x:c r="N165" s="107"/>
      <x:c r="O165" s="107"/>
      <x:c r="P165" s="107"/>
      <x:c r="Q165" s="107" t="str">
        <x:v>Nie nadrabiaj zaległości. Regeneracja jest częścią planu.</x:v>
      </x:c>
      <x:c r="V165" s="227"/>
      <x:c r="W165" s="228"/>
      <x:c r="X165" s="226"/>
      <x:c r="Y165" s="229"/>
      <x:c r="Z165" s="227"/>
      <x:c r="AA165" s="226" t="str">
        <x:f>IF(AND(L165="",M165="",N165="",Z165=""),"",IF(OR(M165&gt;=5,N165&lt;6,L165&gt;=8),"CZERWONY",IF(OR(M165&gt;=3,N165&lt;6.5,L165&gt;=7,Z165&lt;=4),"ŻÓŁTY","OK")))</x:f>
      </x:c>
      <x:c r="AB165" s="226" t="str">
        <x:f>IF(AA165="","",IF(AA165="OK","Realizuj plan normalnie.",IF(AA165="ŻÓŁTY","Skróć 10-30% albo zamień akcent na easy.", "STOP mocne bodźce: wolne/basen/Tacx Z1 48-72 h.")))</x:f>
      </x:c>
    </x:row>
    <x:row r="166">
      <x:c r="A166" s="77" t="n">
        <x:v>46440</x:v>
      </x:c>
      <x:c r="B166" s="78" t="str">
        <x:v>Poniedziałek</x:v>
      </x:c>
      <x:c r="C166" s="78" t="str">
        <x:v>Tydzień 24 (Build 1)</x:v>
      </x:c>
      <x:c r="D166" s="78" t="str">
        <x:v>Więcej jakości na rowerze i kontrolowane zakładki</x:v>
      </x:c>
      <x:c r="E166" s="78" t="str">
        <x:v>BASEN technika</x:v>
      </x:c>
      <x:c r="F166" s="78" t="str">
        <x:v>1800-2400 m: CSS 8-12x100 m albo 5x200 m, równe tempo, bez zajeżdżania. Zapisz średnie tempo/100 m.</x:v>
      </x:c>
      <x:c r="G166" s="78" t="str">
        <x:v>ŁATWY</x:v>
      </x:c>
      <x:c r="H166" s="78" t="str">
        <x:v>Progresja pływania/CSS</x:v>
      </x:c>
      <x:c r="I166" s="78" t="str">
        <x:v>Jajka lub jogurt/skyr + owoce; kawa spokojnie.</x:v>
      </x:c>
      <x:c r="J166" s="78" t="str">
        <x:v>Zupa/kasza/ryż + warzywa + białko; nawodnienie.</x:v>
      </x:c>
      <x:c r="K166" s="78" t="str">
        <x:v>Lekka kolacja: ryż/ziemniaki + ryba/tofu/jaja + warzywa.</x:v>
      </x:c>
      <x:c r="L166" s="78"/>
      <x:c r="M166" s="78"/>
      <x:c r="N166" s="78"/>
      <x:c r="O166" s="78"/>
      <x:c r="P166" s="78"/>
      <x:c r="Q166" s="78" t="str">
        <x:v>Jeśli technika się sypie: skróć odcinki, wydłuż przerwy, nie dokładaj metrów.</x:v>
      </x:c>
      <x:c r="V166" s="227"/>
      <x:c r="W166" s="228"/>
      <x:c r="X166" s="226"/>
      <x:c r="Y166" s="229"/>
      <x:c r="Z166" s="227"/>
      <x:c r="AA166" s="226" t="str">
        <x:f>IF(AND(L166="",M166="",N166="",Z166=""),"",IF(OR(M166&gt;=5,N166&lt;6,L166&gt;=8),"CZERWONY",IF(OR(M166&gt;=3,N166&lt;6.5,L166&gt;=7,Z166&lt;=4),"ŻÓŁTY","OK")))</x:f>
      </x:c>
      <x:c r="AB166" s="226" t="str">
        <x:f>IF(AA166="","",IF(AA166="OK","Realizuj plan normalnie.",IF(AA166="ŻÓŁTY","Skróć 10-30% albo zamień akcent na easy.", "STOP mocne bodźce: wolne/basen/Tacx Z1 48-72 h.")))</x:f>
      </x:c>
    </x:row>
    <x:row r="167">
      <x:c r="A167" s="53" t="n">
        <x:v>46441</x:v>
      </x:c>
      <x:c r="B167" s="54" t="str">
        <x:v>Wtorek</x:v>
      </x:c>
      <x:c r="C167" s="54" t="str">
        <x:v>Tydzień 24 (Build 1)</x:v>
      </x:c>
      <x:c r="D167" s="54" t="str">
        <x:v>Więcej jakości na rowerze i kontrolowane zakładki</x:v>
      </x:c>
      <x:c r="E167" s="54" t="str">
        <x:v>Bieg jakościowy</x:v>
      </x:c>
      <x:c r="F167" s="54" t="str">
        <x:v>10-14 km: 3x2 km w tempie 70.3 4:55-5:05/km / 1 km easy.</x:v>
      </x:c>
      <x:c r="G167" s="54" t="str">
        <x:v>MP/RACE PACE</x:v>
      </x:c>
      <x:c r="H167" s="54" t="str">
        <x:v>Tempo po zmęczeniu</x:v>
      </x:c>
      <x:c r="I167" s="54" t="str">
        <x:v>2-3 h przed: kleik/ryż/wafle + miód/dżem; mało tłuszczu i błonnika.</x:v>
      </x:c>
      <x:c r="J167" s="54" t="str">
        <x:v>Ryż/ziemniaki/kasza + lekkie białko + warzywa.</x:v>
      </x:c>
      <x:c r="K167" s="54" t="str">
        <x:v>Po: 20-35 g białka + węgle; elektrolity.</x:v>
      </x:c>
      <x:c r="L167" s="54"/>
      <x:c r="M167" s="54"/>
      <x:c r="N167" s="54"/>
      <x:c r="O167" s="54"/>
      <x:c r="P167" s="54"/>
      <x:c r="Q167" s="54" t="str">
        <x:v>Jeśli ból ≥3/10 lub sen &lt;6 h: zamień na easy 30-45 min albo basen.</x:v>
      </x:c>
      <x:c r="V167" s="227"/>
      <x:c r="W167" s="228"/>
      <x:c r="X167" s="226"/>
      <x:c r="Y167" s="229"/>
      <x:c r="Z167" s="227"/>
      <x:c r="AA167" s="226" t="str">
        <x:f>IF(AND(L167="",M167="",N167="",Z167=""),"",IF(OR(M167&gt;=5,N167&lt;6,L167&gt;=8),"CZERWONY",IF(OR(M167&gt;=3,N167&lt;6.5,L167&gt;=7,Z167&lt;=4),"ŻÓŁTY","OK")))</x:f>
      </x:c>
      <x:c r="AB167" s="226" t="str">
        <x:f>IF(AA167="","",IF(AA167="OK","Realizuj plan normalnie.",IF(AA167="ŻÓŁTY","Skróć 10-30% albo zamień akcent na easy.", "STOP mocne bodźce: wolne/basen/Tacx Z1 48-72 h.")))</x:f>
      </x:c>
    </x:row>
    <x:row r="168">
      <x:c r="A168" s="53" t="n">
        <x:v>46442</x:v>
      </x:c>
      <x:c r="B168" s="54" t="str">
        <x:v>Środa</x:v>
      </x:c>
      <x:c r="C168" s="54" t="str">
        <x:v>Tydzień 24 (Build 1)</x:v>
      </x:c>
      <x:c r="D168" s="54" t="str">
        <x:v>Więcej jakości na rowerze i kontrolowane zakładki</x:v>
      </x:c>
      <x:c r="E168" s="54" t="str">
        <x:v>Tacx sweet spot / race pace</x:v>
      </x:c>
      <x:c r="F168" s="54" t="str">
        <x:v>80-100 min: 3x12-15 min 88-94% FTP lub 210-230 W; przerwy 5 min easy.</x:v>
      </x:c>
      <x:c r="G168" s="54" t="str">
        <x:v>MOCNY</x:v>
      </x:c>
      <x:c r="H168" s="54" t="str">
        <x:v>Moc pod 70.3</x:v>
      </x:c>
      <x:c r="I168" s="54" t="str">
        <x:v>2-3 h przed: kleik/ryż/wafle + miód/dżem; mało tłuszczu i błonnika.</x:v>
      </x:c>
      <x:c r="J168" s="54" t="str">
        <x:v>Ryż/ziemniaki/kasza + lekkie białko + warzywa.</x:v>
      </x:c>
      <x:c r="K168" s="54" t="str">
        <x:v>Po: 20-35 g białka + węgle; elektrolity.</x:v>
      </x:c>
      <x:c r="L168" s="54"/>
      <x:c r="M168" s="54"/>
      <x:c r="N168" s="54"/>
      <x:c r="O168" s="54"/>
      <x:c r="P168" s="54"/>
      <x:c r="Q168" s="54" t="str">
        <x:v>Jeśli ból ≥3/10 lub sen &lt;6 h: zamień na easy 30-45 min albo basen.</x:v>
      </x:c>
      <x:c r="V168" s="227"/>
      <x:c r="W168" s="228"/>
      <x:c r="X168" s="226"/>
      <x:c r="Y168" s="229"/>
      <x:c r="Z168" s="227"/>
      <x:c r="AA168" s="226" t="str">
        <x:f>IF(AND(L168="",M168="",N168="",Z168=""),"",IF(OR(M168&gt;=5,N168&lt;6,L168&gt;=8),"CZERWONY",IF(OR(M168&gt;=3,N168&lt;6.5,L168&gt;=7,Z168&lt;=4),"ŻÓŁTY","OK")))</x:f>
      </x:c>
      <x:c r="AB168" s="226" t="str">
        <x:f>IF(AA168="","",IF(AA168="OK","Realizuj plan normalnie.",IF(AA168="ŻÓŁTY","Skróć 10-30% albo zamień akcent na easy.", "STOP mocne bodźce: wolne/basen/Tacx Z1 48-72 h.")))</x:f>
      </x:c>
    </x:row>
    <x:row r="169">
      <x:c r="A169" s="77" t="n">
        <x:v>46443</x:v>
      </x:c>
      <x:c r="B169" s="78" t="str">
        <x:v>Czwartek</x:v>
      </x:c>
      <x:c r="C169" s="78" t="str">
        <x:v>Tydzień 24 (Build 1)</x:v>
      </x:c>
      <x:c r="D169" s="78" t="str">
        <x:v>Więcej jakości na rowerze i kontrolowane zakładki</x:v>
      </x:c>
      <x:c r="E169" s="78" t="str">
        <x:v>Bieg easy + BASEN</x:v>
      </x:c>
      <x:c r="F169" s="78" t="str">
        <x:v>RANO: 6-10 km easy + mobility. WIECZÓR: 1800-2400 m: CSS 8-12x100 m albo 5x200 m, równe tempo, bez zajeżdżania. Zapisz średnie tempo/100 m.</x:v>
      </x:c>
      <x:c r="G169" s="78" t="str">
        <x:v>ŁATWY</x:v>
      </x:c>
      <x:c r="H169" s="78" t="str">
        <x:v>Progresja pływania/CSS</x:v>
      </x:c>
      <x:c r="I169" s="78" t="str">
        <x:v>Jajka lub jogurt/skyr + owoce; kawa spokojnie.</x:v>
      </x:c>
      <x:c r="J169" s="78" t="str">
        <x:v>Zupa/kasza/ryż + warzywa + białko; nawodnienie.</x:v>
      </x:c>
      <x:c r="K169" s="78" t="str">
        <x:v>Lekka kolacja: ryż/ziemniaki + ryba/tofu/jaja + warzywa.</x:v>
      </x:c>
      <x:c r="L169" s="78"/>
      <x:c r="M169" s="78"/>
      <x:c r="N169" s="78"/>
      <x:c r="O169" s="78"/>
      <x:c r="P169" s="78"/>
      <x:c r="Q169" s="78" t="str">
        <x:v>Jeśli technika się sypie: skróć odcinki, wydłuż przerwy, nie dokładaj metrów.</x:v>
      </x:c>
      <x:c r="V169" s="227"/>
      <x:c r="W169" s="228"/>
      <x:c r="X169" s="226"/>
      <x:c r="Y169" s="229"/>
      <x:c r="Z169" s="227"/>
      <x:c r="AA169" s="226" t="str">
        <x:f>IF(AND(L169="",M169="",N169="",Z169=""),"",IF(OR(M169&gt;=5,N169&lt;6,L169&gt;=8),"CZERWONY",IF(OR(M169&gt;=3,N169&lt;6.5,L169&gt;=7,Z169&lt;=4),"ŻÓŁTY","OK")))</x:f>
      </x:c>
      <x:c r="AB169" s="226" t="str">
        <x:f>IF(AA169="","",IF(AA169="OK","Realizuj plan normalnie.",IF(AA169="ŻÓŁTY","Skróć 10-30% albo zamień akcent na easy.", "STOP mocne bodźce: wolne/basen/Tacx Z1 48-72 h.")))</x:f>
      </x:c>
    </x:row>
    <x:row r="170">
      <x:c r="A170" s="71" t="n">
        <x:v>46444</x:v>
      </x:c>
      <x:c r="B170" s="72" t="str">
        <x:v>Piątek</x:v>
      </x:c>
      <x:c r="C170" s="72" t="str">
        <x:v>Tydzień 24 (Build 1)</x:v>
      </x:c>
      <x:c r="D170" s="72" t="str">
        <x:v>Więcej jakości na rowerze i kontrolowane zakładki</x:v>
      </x:c>
      <x:c r="E170" s="72" t="str">
        <x:v>WOLNE</x:v>
      </x:c>
      <x:c r="F170" s="72" t="str">
        <x:v>Pełna regeneracja. Zero nadrabiania. Sprawdź sen, RPE i ból.</x:v>
      </x:c>
      <x:c r="G170" s="72" t="str">
        <x:v>WOLNE</x:v>
      </x:c>
      <x:c r="H170" s="72" t="str">
        <x:v>Adaptacja</x:v>
      </x:c>
      <x:c r="I170" s="72" t="str">
        <x:v>Normalne śniadanie, bez wymuszonego ładowania.</x:v>
      </x:c>
      <x:c r="J170" s="72" t="str">
        <x:v>Warzywa + białko + spokojna porcja węgli.</x:v>
      </x:c>
      <x:c r="K170" s="72" t="str">
        <x:v>Lekko, prosto, sen ważniejszy niż idealne makro.</x:v>
      </x:c>
      <x:c r="L170" s="72"/>
      <x:c r="M170" s="72"/>
      <x:c r="N170" s="72"/>
      <x:c r="O170" s="72"/>
      <x:c r="P170" s="72"/>
      <x:c r="Q170" s="72" t="str">
        <x:v>Nie nadrabiaj zaległości. Regeneracja jest częścią planu.</x:v>
      </x:c>
      <x:c r="V170" s="227"/>
      <x:c r="W170" s="228"/>
      <x:c r="X170" s="226"/>
      <x:c r="Y170" s="229"/>
      <x:c r="Z170" s="227"/>
      <x:c r="AA170" s="226" t="str">
        <x:f>IF(AND(L170="",M170="",N170="",Z170=""),"",IF(OR(M170&gt;=5,N170&lt;6,L170&gt;=8),"CZERWONY",IF(OR(M170&gt;=3,N170&lt;6.5,L170&gt;=7,Z170&lt;=4),"ŻÓŁTY","OK")))</x:f>
      </x:c>
      <x:c r="AB170" s="226" t="str">
        <x:f>IF(AA170="","",IF(AA170="OK","Realizuj plan normalnie.",IF(AA170="ŻÓŁTY","Skróć 10-30% albo zamień akcent na easy.", "STOP mocne bodźce: wolne/basen/Tacx Z1 48-72 h.")))</x:f>
      </x:c>
    </x:row>
    <x:row r="171">
      <x:c r="A171" s="113" t="n">
        <x:v>46445</x:v>
      </x:c>
      <x:c r="B171" s="107" t="str">
        <x:v>Sobota</x:v>
      </x:c>
      <x:c r="C171" s="107" t="str">
        <x:v>Tydzień 24 (Build 1)</x:v>
      </x:c>
      <x:c r="D171" s="107" t="str">
        <x:v>Więcej jakości na rowerze i kontrolowane zakładki</x:v>
      </x:c>
      <x:c r="E171" s="107" t="str">
        <x:v>Rower długi + Zakładka T2</x:v>
      </x:c>
      <x:c r="F171" s="107" t="str">
        <x:v>180 min Z2 z kontrolą kadencji + 8 km T2 easy. Paliwo 60-80 g węgli/h.</x:v>
      </x:c>
      <x:c r="G171" s="107" t="str">
        <x:v>LONG</x:v>
      </x:c>
      <x:c r="H171" s="107" t="str">
        <x:v>Rower + adaptacja T2</x:v>
      </x:c>
      <x:c r="I171" s="107" t="str">
        <x:v>3 h przed: sprawdzony posiłek węglowodanowy; bez nowych produktów.</x:v>
      </x:c>
      <x:c r="J171" s="107" t="str">
        <x:v>Po treningu: ryż/ziemniaki + białko + sól/elektrolity.</x:v>
      </x:c>
      <x:c r="K171" s="107" t="str">
        <x:v>Kolacja regeneracyjna: węgle + białko + warzywa; uzupełnij płyny.</x:v>
      </x:c>
      <x:c r="L171" s="107"/>
      <x:c r="M171" s="107"/>
      <x:c r="N171" s="107"/>
      <x:c r="O171" s="107"/>
      <x:c r="P171" s="107"/>
      <x:c r="Q171" s="107" t="str">
        <x:v>Jeśli ból narasta lub RPE &gt;7 przed połową: skróć, nie nadrabiaj kilometrów.</x:v>
      </x:c>
      <x:c r="V171" s="227"/>
      <x:c r="W171" s="228"/>
      <x:c r="X171" s="226"/>
      <x:c r="Y171" s="229"/>
      <x:c r="Z171" s="227"/>
      <x:c r="AA171" s="226" t="str">
        <x:f>IF(AND(L171="",M171="",N171="",Z171=""),"",IF(OR(M171&gt;=5,N171&lt;6,L171&gt;=8),"CZERWONY",IF(OR(M171&gt;=3,N171&lt;6.5,L171&gt;=7,Z171&lt;=4),"ŻÓŁTY","OK")))</x:f>
      </x:c>
      <x:c r="AB171" s="226" t="str">
        <x:f>IF(AA171="","",IF(AA171="OK","Realizuj plan normalnie.",IF(AA171="ŻÓŁTY","Skróć 10-30% albo zamień akcent na easy.", "STOP mocne bodźce: wolne/basen/Tacx Z1 48-72 h.")))</x:f>
      </x:c>
    </x:row>
    <x:row r="172">
      <x:c r="A172" s="113" t="n">
        <x:v>46446</x:v>
      </x:c>
      <x:c r="B172" s="107" t="str">
        <x:v>Niedziela</x:v>
      </x:c>
      <x:c r="C172" s="107" t="str">
        <x:v>Tydzień 24 (Build 1)</x:v>
      </x:c>
      <x:c r="D172" s="107" t="str">
        <x:v>Więcej jakości na rowerze i kontrolowane zakładki</x:v>
      </x:c>
      <x:c r="E172" s="107" t="str">
        <x:v>Bieg długi easy</x:v>
      </x:c>
      <x:c r="F172" s="107" t="str">
        <x:v>16-18 km easy. Ostatnie 10 min steady tylko jeśli świeżo.</x:v>
      </x:c>
      <x:c r="G172" s="107" t="str">
        <x:v>LONG</x:v>
      </x:c>
      <x:c r="H172" s="107" t="str">
        <x:v>Wytrzymałość po rowerze</x:v>
      </x:c>
      <x:c r="I172" s="107" t="str">
        <x:v>3 h przed: sprawdzony posiłek węglowodanowy; bez nowych produktów.</x:v>
      </x:c>
      <x:c r="J172" s="107" t="str">
        <x:v>Po treningu: ryż/ziemniaki + białko + sól/elektrolity.</x:v>
      </x:c>
      <x:c r="K172" s="107" t="str">
        <x:v>Kolacja regeneracyjna: węgle + białko + warzywa; uzupełnij płyny.</x:v>
      </x:c>
      <x:c r="L172" s="107"/>
      <x:c r="M172" s="107"/>
      <x:c r="N172" s="107"/>
      <x:c r="O172" s="107"/>
      <x:c r="P172" s="107"/>
      <x:c r="Q172" s="107" t="str">
        <x:v>Jeśli ból narasta lub RPE &gt;7 przed połową: skróć, nie nadrabiaj kilometrów.</x:v>
      </x:c>
      <x:c r="V172" s="227"/>
      <x:c r="W172" s="228"/>
      <x:c r="X172" s="226"/>
      <x:c r="Y172" s="229"/>
      <x:c r="Z172" s="227"/>
      <x:c r="AA172" s="226" t="str">
        <x:f>IF(AND(L172="",M172="",N172="",Z172=""),"",IF(OR(M172&gt;=5,N172&lt;6,L172&gt;=8),"CZERWONY",IF(OR(M172&gt;=3,N172&lt;6.5,L172&gt;=7,Z172&lt;=4),"ŻÓŁTY","OK")))</x:f>
      </x:c>
      <x:c r="AB172" s="226" t="str">
        <x:f>IF(AA172="","",IF(AA172="OK","Realizuj plan normalnie.",IF(AA172="ŻÓŁTY","Skróć 10-30% albo zamień akcent na easy.", "STOP mocne bodźce: wolne/basen/Tacx Z1 48-72 h.")))</x:f>
      </x:c>
    </x:row>
    <x:row r="173" ht="26" customHeight="1">
      <x:c r="A173" s="148" t="n">
        <x:v>46447</x:v>
      </x:c>
      <x:c r="B173" s="149" t="str">
        <x:v>Poniedziałek</x:v>
      </x:c>
      <x:c r="C173" s="149" t="str">
        <x:v>Tydzień 25 (Build 1)</x:v>
      </x:c>
      <x:c r="D173" s="150" t="str">
        <x:v>Więcej jakości na rowerze i kontrolowane zakładki</x:v>
      </x:c>
      <x:c r="E173" s="150" t="str">
        <x:v>BASEN technika</x:v>
      </x:c>
      <x:c r="F173" s="150" t="str">
        <x:v>1800-2400 m: CSS 8-12x100 m albo 5x200 m, równe tempo, bez zajeżdżania. Zapisz średnie tempo/100 m.</x:v>
      </x:c>
      <x:c r="G173" s="150" t="str">
        <x:v>ŁATWY</x:v>
      </x:c>
      <x:c r="H173" s="150" t="str">
        <x:v>Progresja pływania/CSS</x:v>
      </x:c>
      <x:c r="I173" s="150" t="str">
        <x:v>Jajka lub jogurt/skyr + owoce; kawa spokojnie.</x:v>
      </x:c>
      <x:c r="J173" s="150" t="str">
        <x:v>Zupa/kasza/ryż + warzywa + białko; nawodnienie.</x:v>
      </x:c>
      <x:c r="K173" s="150" t="str">
        <x:v>Lekka kolacja: ryż/ziemniaki + ryba/tofu/jaja + warzywa.</x:v>
      </x:c>
      <x:c r="L173" s="150"/>
      <x:c r="M173" s="150"/>
      <x:c r="N173" s="150"/>
      <x:c r="O173" s="150"/>
      <x:c r="P173" s="150"/>
      <x:c r="Q173" s="150" t="str">
        <x:v>Jeśli technika się sypie: skróć odcinki, wydłuż przerwy, nie dokładaj metrów.</x:v>
      </x:c>
      <x:c r="R173" s="136" t="str">
        <x:v>MARZEC 2027</x:v>
      </x:c>
      <x:c r="V173" s="227"/>
      <x:c r="W173" s="228"/>
      <x:c r="X173" s="226"/>
      <x:c r="Y173" s="229"/>
      <x:c r="Z173" s="227"/>
      <x:c r="AA173" s="226" t="str">
        <x:f>IF(AND(L173="",M173="",N173="",Z173=""),"",IF(OR(M173&gt;=5,N173&lt;6,L173&gt;=8),"CZERWONY",IF(OR(M173&gt;=3,N173&lt;6.5,L173&gt;=7,Z173&lt;=4),"ŻÓŁTY","OK")))</x:f>
      </x:c>
      <x:c r="AB173" s="226" t="str">
        <x:f>IF(AA173="","",IF(AA173="OK","Realizuj plan normalnie.",IF(AA173="ŻÓŁTY","Skróć 10-30% albo zamień akcent na easy.", "STOP mocne bodźce: wolne/basen/Tacx Z1 48-72 h.")))</x:f>
      </x:c>
    </x:row>
    <x:row r="174">
      <x:c r="A174" s="53" t="n">
        <x:v>46448</x:v>
      </x:c>
      <x:c r="B174" s="54" t="str">
        <x:v>Wtorek</x:v>
      </x:c>
      <x:c r="C174" s="54" t="str">
        <x:v>Tydzień 25 (Build 1)</x:v>
      </x:c>
      <x:c r="D174" s="54" t="str">
        <x:v>Więcej jakości na rowerze i kontrolowane zakładki</x:v>
      </x:c>
      <x:c r="E174" s="54" t="str">
        <x:v>Bieg jakościowy</x:v>
      </x:c>
      <x:c r="F174" s="54" t="str">
        <x:v>10-14 km: 3x2 km w tempie 70.3 4:55-5:05/km / 1 km easy.</x:v>
      </x:c>
      <x:c r="G174" s="54" t="str">
        <x:v>MP/RACE PACE</x:v>
      </x:c>
      <x:c r="H174" s="54" t="str">
        <x:v>Tempo po zmęczeniu</x:v>
      </x:c>
      <x:c r="I174" s="54" t="str">
        <x:v>2-3 h przed: kleik/ryż/wafle + miód/dżem; mało tłuszczu i błonnika.</x:v>
      </x:c>
      <x:c r="J174" s="54" t="str">
        <x:v>Ryż/ziemniaki/kasza + lekkie białko + warzywa.</x:v>
      </x:c>
      <x:c r="K174" s="54" t="str">
        <x:v>Po: 20-35 g białka + węgle; elektrolity.</x:v>
      </x:c>
      <x:c r="L174" s="54"/>
      <x:c r="M174" s="54"/>
      <x:c r="N174" s="54"/>
      <x:c r="O174" s="54"/>
      <x:c r="P174" s="54"/>
      <x:c r="Q174" s="54" t="str">
        <x:v>Jeśli ból ≥3/10 lub sen &lt;6 h: zamień na easy 30-45 min albo basen.</x:v>
      </x:c>
      <x:c r="V174" s="227"/>
      <x:c r="W174" s="228"/>
      <x:c r="X174" s="226"/>
      <x:c r="Y174" s="229"/>
      <x:c r="Z174" s="227"/>
      <x:c r="AA174" s="226" t="str">
        <x:f>IF(AND(L174="",M174="",N174="",Z174=""),"",IF(OR(M174&gt;=5,N174&lt;6,L174&gt;=8),"CZERWONY",IF(OR(M174&gt;=3,N174&lt;6.5,L174&gt;=7,Z174&lt;=4),"ŻÓŁTY","OK")))</x:f>
      </x:c>
      <x:c r="AB174" s="226" t="str">
        <x:f>IF(AA174="","",IF(AA174="OK","Realizuj plan normalnie.",IF(AA174="ŻÓŁTY","Skróć 10-30% albo zamień akcent na easy.", "STOP mocne bodźce: wolne/basen/Tacx Z1 48-72 h.")))</x:f>
      </x:c>
    </x:row>
    <x:row r="175">
      <x:c r="A175" s="53" t="n">
        <x:v>46449</x:v>
      </x:c>
      <x:c r="B175" s="54" t="str">
        <x:v>Środa</x:v>
      </x:c>
      <x:c r="C175" s="54" t="str">
        <x:v>Tydzień 25 (Build 1)</x:v>
      </x:c>
      <x:c r="D175" s="54" t="str">
        <x:v>Więcej jakości na rowerze i kontrolowane zakładki</x:v>
      </x:c>
      <x:c r="E175" s="54" t="str">
        <x:v>Tacx sweet spot / race pace</x:v>
      </x:c>
      <x:c r="F175" s="54" t="str">
        <x:v>80-100 min: 3x12-15 min 88-94% FTP lub 210-230 W; przerwy 5 min easy.</x:v>
      </x:c>
      <x:c r="G175" s="54" t="str">
        <x:v>MOCNY</x:v>
      </x:c>
      <x:c r="H175" s="54" t="str">
        <x:v>Moc pod 70.3</x:v>
      </x:c>
      <x:c r="I175" s="54" t="str">
        <x:v>2-3 h przed: kleik/ryż/wafle + miód/dżem; mało tłuszczu i błonnika.</x:v>
      </x:c>
      <x:c r="J175" s="54" t="str">
        <x:v>Ryż/ziemniaki/kasza + lekkie białko + warzywa.</x:v>
      </x:c>
      <x:c r="K175" s="54" t="str">
        <x:v>Po: 20-35 g białka + węgle; elektrolity.</x:v>
      </x:c>
      <x:c r="L175" s="54"/>
      <x:c r="M175" s="54"/>
      <x:c r="N175" s="54"/>
      <x:c r="O175" s="54"/>
      <x:c r="P175" s="54"/>
      <x:c r="Q175" s="54" t="str">
        <x:v>Jeśli ból ≥3/10 lub sen &lt;6 h: zamień na easy 30-45 min albo basen.</x:v>
      </x:c>
      <x:c r="V175" s="227"/>
      <x:c r="W175" s="228"/>
      <x:c r="X175" s="226"/>
      <x:c r="Y175" s="229"/>
      <x:c r="Z175" s="227"/>
      <x:c r="AA175" s="226" t="str">
        <x:f>IF(AND(L175="",M175="",N175="",Z175=""),"",IF(OR(M175&gt;=5,N175&lt;6,L175&gt;=8),"CZERWONY",IF(OR(M175&gt;=3,N175&lt;6.5,L175&gt;=7,Z175&lt;=4),"ŻÓŁTY","OK")))</x:f>
      </x:c>
      <x:c r="AB175" s="226" t="str">
        <x:f>IF(AA175="","",IF(AA175="OK","Realizuj plan normalnie.",IF(AA175="ŻÓŁTY","Skróć 10-30% albo zamień akcent na easy.", "STOP mocne bodźce: wolne/basen/Tacx Z1 48-72 h.")))</x:f>
      </x:c>
    </x:row>
    <x:row r="176">
      <x:c r="A176" s="77" t="n">
        <x:v>46450</x:v>
      </x:c>
      <x:c r="B176" s="78" t="str">
        <x:v>Czwartek</x:v>
      </x:c>
      <x:c r="C176" s="78" t="str">
        <x:v>Tydzień 25 (Build 1)</x:v>
      </x:c>
      <x:c r="D176" s="78" t="str">
        <x:v>Więcej jakości na rowerze i kontrolowane zakładki</x:v>
      </x:c>
      <x:c r="E176" s="78" t="str">
        <x:v>Bieg easy + BASEN</x:v>
      </x:c>
      <x:c r="F176" s="78" t="str">
        <x:v>RANO: 6-10 km easy + mobility. WIECZÓR: 1800-2400 m: CSS 8-12x100 m albo 5x200 m, równe tempo, bez zajeżdżania. Zapisz średnie tempo/100 m.</x:v>
      </x:c>
      <x:c r="G176" s="78" t="str">
        <x:v>ŁATWY</x:v>
      </x:c>
      <x:c r="H176" s="78" t="str">
        <x:v>Progresja pływania/CSS</x:v>
      </x:c>
      <x:c r="I176" s="78" t="str">
        <x:v>Jajka lub jogurt/skyr + owoce; kawa spokojnie.</x:v>
      </x:c>
      <x:c r="J176" s="78" t="str">
        <x:v>Zupa/kasza/ryż + warzywa + białko; nawodnienie.</x:v>
      </x:c>
      <x:c r="K176" s="78" t="str">
        <x:v>Lekka kolacja: ryż/ziemniaki + ryba/tofu/jaja + warzywa.</x:v>
      </x:c>
      <x:c r="L176" s="78"/>
      <x:c r="M176" s="78"/>
      <x:c r="N176" s="78"/>
      <x:c r="O176" s="78"/>
      <x:c r="P176" s="78"/>
      <x:c r="Q176" s="78" t="str">
        <x:v>Jeśli technika się sypie: skróć odcinki, wydłuż przerwy, nie dokładaj metrów.</x:v>
      </x:c>
      <x:c r="V176" s="227"/>
      <x:c r="W176" s="228"/>
      <x:c r="X176" s="226"/>
      <x:c r="Y176" s="229"/>
      <x:c r="Z176" s="227"/>
      <x:c r="AA176" s="226" t="str">
        <x:f>IF(AND(L176="",M176="",N176="",Z176=""),"",IF(OR(M176&gt;=5,N176&lt;6,L176&gt;=8),"CZERWONY",IF(OR(M176&gt;=3,N176&lt;6.5,L176&gt;=7,Z176&lt;=4),"ŻÓŁTY","OK")))</x:f>
      </x:c>
      <x:c r="AB176" s="226" t="str">
        <x:f>IF(AA176="","",IF(AA176="OK","Realizuj plan normalnie.",IF(AA176="ŻÓŁTY","Skróć 10-30% albo zamień akcent na easy.", "STOP mocne bodźce: wolne/basen/Tacx Z1 48-72 h.")))</x:f>
      </x:c>
    </x:row>
    <x:row r="177">
      <x:c r="A177" s="71" t="n">
        <x:v>46451</x:v>
      </x:c>
      <x:c r="B177" s="72" t="str">
        <x:v>Piątek</x:v>
      </x:c>
      <x:c r="C177" s="72" t="str">
        <x:v>Tydzień 25 (Build 1)</x:v>
      </x:c>
      <x:c r="D177" s="72" t="str">
        <x:v>Więcej jakości na rowerze i kontrolowane zakładki</x:v>
      </x:c>
      <x:c r="E177" s="72" t="str">
        <x:v>WOLNE</x:v>
      </x:c>
      <x:c r="F177" s="72" t="str">
        <x:v>Pełna regeneracja. Zero nadrabiania. Sprawdź sen, RPE i ból.</x:v>
      </x:c>
      <x:c r="G177" s="72" t="str">
        <x:v>WOLNE</x:v>
      </x:c>
      <x:c r="H177" s="72" t="str">
        <x:v>Adaptacja</x:v>
      </x:c>
      <x:c r="I177" s="72" t="str">
        <x:v>Normalne śniadanie, bez wymuszonego ładowania.</x:v>
      </x:c>
      <x:c r="J177" s="72" t="str">
        <x:v>Warzywa + białko + spokojna porcja węgli.</x:v>
      </x:c>
      <x:c r="K177" s="72" t="str">
        <x:v>Lekko, prosto, sen ważniejszy niż idealne makro.</x:v>
      </x:c>
      <x:c r="L177" s="72"/>
      <x:c r="M177" s="72"/>
      <x:c r="N177" s="72"/>
      <x:c r="O177" s="72"/>
      <x:c r="P177" s="72"/>
      <x:c r="Q177" s="72" t="str">
        <x:v>Nie nadrabiaj zaległości. Regeneracja jest częścią planu.</x:v>
      </x:c>
      <x:c r="V177" s="227"/>
      <x:c r="W177" s="228"/>
      <x:c r="X177" s="226"/>
      <x:c r="Y177" s="229"/>
      <x:c r="Z177" s="227"/>
      <x:c r="AA177" s="226" t="str">
        <x:f>IF(AND(L177="",M177="",N177="",Z177=""),"",IF(OR(M177&gt;=5,N177&lt;6,L177&gt;=8),"CZERWONY",IF(OR(M177&gt;=3,N177&lt;6.5,L177&gt;=7,Z177&lt;=4),"ŻÓŁTY","OK")))</x:f>
      </x:c>
      <x:c r="AB177" s="226" t="str">
        <x:f>IF(AA177="","",IF(AA177="OK","Realizuj plan normalnie.",IF(AA177="ŻÓŁTY","Skróć 10-30% albo zamień akcent na easy.", "STOP mocne bodźce: wolne/basen/Tacx Z1 48-72 h.")))</x:f>
      </x:c>
    </x:row>
    <x:row r="178">
      <x:c r="A178" s="113" t="n">
        <x:v>46452</x:v>
      </x:c>
      <x:c r="B178" s="107" t="str">
        <x:v>Sobota</x:v>
      </x:c>
      <x:c r="C178" s="107" t="str">
        <x:v>Tydzień 25 (Build 1)</x:v>
      </x:c>
      <x:c r="D178" s="107" t="str">
        <x:v>Więcej jakości na rowerze i kontrolowane zakładki</x:v>
      </x:c>
      <x:c r="E178" s="107" t="str">
        <x:v>Rower długi + Zakładka T2</x:v>
      </x:c>
      <x:c r="F178" s="107" t="str">
        <x:v>210 min Z2 z kontrolą kadencji + 9 km T2 easy. Paliwo 60-80 g węgli/h.</x:v>
      </x:c>
      <x:c r="G178" s="107" t="str">
        <x:v>LONG</x:v>
      </x:c>
      <x:c r="H178" s="107" t="str">
        <x:v>Rower + adaptacja T2</x:v>
      </x:c>
      <x:c r="I178" s="107" t="str">
        <x:v>3 h przed: sprawdzony posiłek węglowodanowy; bez nowych produktów.</x:v>
      </x:c>
      <x:c r="J178" s="107" t="str">
        <x:v>Po treningu: ryż/ziemniaki + białko + sól/elektrolity.</x:v>
      </x:c>
      <x:c r="K178" s="107" t="str">
        <x:v>Kolacja regeneracyjna: węgle + białko + warzywa; uzupełnij płyny.</x:v>
      </x:c>
      <x:c r="L178" s="107"/>
      <x:c r="M178" s="107"/>
      <x:c r="N178" s="107"/>
      <x:c r="O178" s="107"/>
      <x:c r="P178" s="107"/>
      <x:c r="Q178" s="107" t="str">
        <x:v>Jeśli ból narasta lub RPE &gt;7 przed połową: skróć, nie nadrabiaj kilometrów.</x:v>
      </x:c>
      <x:c r="V178" s="227"/>
      <x:c r="W178" s="228"/>
      <x:c r="X178" s="226"/>
      <x:c r="Y178" s="229"/>
      <x:c r="Z178" s="227"/>
      <x:c r="AA178" s="226" t="str">
        <x:f>IF(AND(L178="",M178="",N178="",Z178=""),"",IF(OR(M178&gt;=5,N178&lt;6,L178&gt;=8),"CZERWONY",IF(OR(M178&gt;=3,N178&lt;6.5,L178&gt;=7,Z178&lt;=4),"ŻÓŁTY","OK")))</x:f>
      </x:c>
      <x:c r="AB178" s="226" t="str">
        <x:f>IF(AA178="","",IF(AA178="OK","Realizuj plan normalnie.",IF(AA178="ŻÓŁTY","Skróć 10-30% albo zamień akcent na easy.", "STOP mocne bodźce: wolne/basen/Tacx Z1 48-72 h.")))</x:f>
      </x:c>
    </x:row>
    <x:row r="179">
      <x:c r="A179" s="113" t="n">
        <x:v>46453</x:v>
      </x:c>
      <x:c r="B179" s="107" t="str">
        <x:v>Niedziela</x:v>
      </x:c>
      <x:c r="C179" s="107" t="str">
        <x:v>Tydzień 25 (Build 1)</x:v>
      </x:c>
      <x:c r="D179" s="107" t="str">
        <x:v>Więcej jakości na rowerze i kontrolowane zakładki</x:v>
      </x:c>
      <x:c r="E179" s="107" t="str">
        <x:v>Bieg długi easy</x:v>
      </x:c>
      <x:c r="F179" s="107" t="str">
        <x:v>16-18 km easy. Ostatnie 10 min steady tylko jeśli świeżo.</x:v>
      </x:c>
      <x:c r="G179" s="107" t="str">
        <x:v>LONG</x:v>
      </x:c>
      <x:c r="H179" s="107" t="str">
        <x:v>Wytrzymałość po rowerze</x:v>
      </x:c>
      <x:c r="I179" s="107" t="str">
        <x:v>3 h przed: sprawdzony posiłek węglowodanowy; bez nowych produktów.</x:v>
      </x:c>
      <x:c r="J179" s="107" t="str">
        <x:v>Po treningu: ryż/ziemniaki + białko + sól/elektrolity.</x:v>
      </x:c>
      <x:c r="K179" s="107" t="str">
        <x:v>Kolacja regeneracyjna: węgle + białko + warzywa; uzupełnij płyny.</x:v>
      </x:c>
      <x:c r="L179" s="107"/>
      <x:c r="M179" s="107"/>
      <x:c r="N179" s="107"/>
      <x:c r="O179" s="107"/>
      <x:c r="P179" s="107"/>
      <x:c r="Q179" s="107" t="str">
        <x:v>Jeśli ból narasta lub RPE &gt;7 przed połową: skróć, nie nadrabiaj kilometrów.</x:v>
      </x:c>
      <x:c r="V179" s="227"/>
      <x:c r="W179" s="228"/>
      <x:c r="X179" s="226"/>
      <x:c r="Y179" s="229"/>
      <x:c r="Z179" s="227"/>
      <x:c r="AA179" s="226" t="str">
        <x:f>IF(AND(L179="",M179="",N179="",Z179=""),"",IF(OR(M179&gt;=5,N179&lt;6,L179&gt;=8),"CZERWONY",IF(OR(M179&gt;=3,N179&lt;6.5,L179&gt;=7,Z179&lt;=4),"ŻÓŁTY","OK")))</x:f>
      </x:c>
      <x:c r="AB179" s="226" t="str">
        <x:f>IF(AA179="","",IF(AA179="OK","Realizuj plan normalnie.",IF(AA179="ŻÓŁTY","Skróć 10-30% albo zamień akcent na easy.", "STOP mocne bodźce: wolne/basen/Tacx Z1 48-72 h.")))</x:f>
      </x:c>
    </x:row>
    <x:row r="180">
      <x:c r="A180" s="77" t="n">
        <x:v>46454</x:v>
      </x:c>
      <x:c r="B180" s="78" t="str">
        <x:v>Poniedziałek</x:v>
      </x:c>
      <x:c r="C180" s="78" t="str">
        <x:v>Tydzień 26 (Build 1)</x:v>
      </x:c>
      <x:c r="D180" s="78" t="str">
        <x:v>Więcej jakości na rowerze i kontrolowane zakładki</x:v>
      </x:c>
      <x:c r="E180" s="78" t="str">
        <x:v>BASEN technika</x:v>
      </x:c>
      <x:c r="F180" s="78" t="str">
        <x:v>1800-2400 m: CSS 8-12x100 m albo 5x200 m, równe tempo, bez zajeżdżania. Zapisz średnie tempo/100 m.</x:v>
      </x:c>
      <x:c r="G180" s="78" t="str">
        <x:v>ŁATWY</x:v>
      </x:c>
      <x:c r="H180" s="78" t="str">
        <x:v>Progresja pływania/CSS</x:v>
      </x:c>
      <x:c r="I180" s="78" t="str">
        <x:v>Jajka lub jogurt/skyr + owoce; kawa spokojnie.</x:v>
      </x:c>
      <x:c r="J180" s="78" t="str">
        <x:v>Zupa/kasza/ryż + warzywa + białko; nawodnienie.</x:v>
      </x:c>
      <x:c r="K180" s="78" t="str">
        <x:v>Lekka kolacja: ryż/ziemniaki + ryba/tofu/jaja + warzywa.</x:v>
      </x:c>
      <x:c r="L180" s="78"/>
      <x:c r="M180" s="78"/>
      <x:c r="N180" s="78"/>
      <x:c r="O180" s="78"/>
      <x:c r="P180" s="78"/>
      <x:c r="Q180" s="78" t="str">
        <x:v>Jeśli technika się sypie: skróć odcinki, wydłuż przerwy, nie dokładaj metrów.</x:v>
      </x:c>
      <x:c r="V180" s="227"/>
      <x:c r="W180" s="228"/>
      <x:c r="X180" s="226"/>
      <x:c r="Y180" s="229"/>
      <x:c r="Z180" s="227"/>
      <x:c r="AA180" s="226" t="str">
        <x:f>IF(AND(L180="",M180="",N180="",Z180=""),"",IF(OR(M180&gt;=5,N180&lt;6,L180&gt;=8),"CZERWONY",IF(OR(M180&gt;=3,N180&lt;6.5,L180&gt;=7,Z180&lt;=4),"ŻÓŁTY","OK")))</x:f>
      </x:c>
      <x:c r="AB180" s="226" t="str">
        <x:f>IF(AA180="","",IF(AA180="OK","Realizuj plan normalnie.",IF(AA180="ŻÓŁTY","Skróć 10-30% albo zamień akcent na easy.", "STOP mocne bodźce: wolne/basen/Tacx Z1 48-72 h.")))</x:f>
      </x:c>
    </x:row>
    <x:row r="181">
      <x:c r="A181" s="53" t="n">
        <x:v>46455</x:v>
      </x:c>
      <x:c r="B181" s="54" t="str">
        <x:v>Wtorek</x:v>
      </x:c>
      <x:c r="C181" s="54" t="str">
        <x:v>Tydzień 26 (Build 1)</x:v>
      </x:c>
      <x:c r="D181" s="54" t="str">
        <x:v>Więcej jakości na rowerze i kontrolowane zakładki</x:v>
      </x:c>
      <x:c r="E181" s="54" t="str">
        <x:v>Bieg jakościowy</x:v>
      </x:c>
      <x:c r="F181" s="54" t="str">
        <x:v>10-14 km: 3x2 km w tempie 70.3 4:55-5:05/km / 1 km easy.</x:v>
      </x:c>
      <x:c r="G181" s="54" t="str">
        <x:v>MP/RACE PACE</x:v>
      </x:c>
      <x:c r="H181" s="54" t="str">
        <x:v>Tempo po zmęczeniu</x:v>
      </x:c>
      <x:c r="I181" s="54" t="str">
        <x:v>2-3 h przed: kleik/ryż/wafle + miód/dżem; mało tłuszczu i błonnika.</x:v>
      </x:c>
      <x:c r="J181" s="54" t="str">
        <x:v>Ryż/ziemniaki/kasza + lekkie białko + warzywa.</x:v>
      </x:c>
      <x:c r="K181" s="54" t="str">
        <x:v>Po: 20-35 g białka + węgle; elektrolity.</x:v>
      </x:c>
      <x:c r="L181" s="54"/>
      <x:c r="M181" s="54"/>
      <x:c r="N181" s="54"/>
      <x:c r="O181" s="54"/>
      <x:c r="P181" s="54"/>
      <x:c r="Q181" s="54" t="str">
        <x:v>Jeśli ból ≥3/10 lub sen &lt;6 h: zamień na easy 30-45 min albo basen.</x:v>
      </x:c>
      <x:c r="V181" s="227"/>
      <x:c r="W181" s="228"/>
      <x:c r="X181" s="226"/>
      <x:c r="Y181" s="229"/>
      <x:c r="Z181" s="227"/>
      <x:c r="AA181" s="226" t="str">
        <x:f>IF(AND(L181="",M181="",N181="",Z181=""),"",IF(OR(M181&gt;=5,N181&lt;6,L181&gt;=8),"CZERWONY",IF(OR(M181&gt;=3,N181&lt;6.5,L181&gt;=7,Z181&lt;=4),"ŻÓŁTY","OK")))</x:f>
      </x:c>
      <x:c r="AB181" s="226" t="str">
        <x:f>IF(AA181="","",IF(AA181="OK","Realizuj plan normalnie.",IF(AA181="ŻÓŁTY","Skróć 10-30% albo zamień akcent na easy.", "STOP mocne bodźce: wolne/basen/Tacx Z1 48-72 h.")))</x:f>
      </x:c>
    </x:row>
    <x:row r="182">
      <x:c r="A182" s="53" t="n">
        <x:v>46456</x:v>
      </x:c>
      <x:c r="B182" s="54" t="str">
        <x:v>Środa</x:v>
      </x:c>
      <x:c r="C182" s="54" t="str">
        <x:v>Tydzień 26 (Build 1)</x:v>
      </x:c>
      <x:c r="D182" s="54" t="str">
        <x:v>Więcej jakości na rowerze i kontrolowane zakładki</x:v>
      </x:c>
      <x:c r="E182" s="54" t="str">
        <x:v>Tacx sweet spot / race pace</x:v>
      </x:c>
      <x:c r="F182" s="54" t="str">
        <x:v>80-100 min: 3x12-15 min 88-94% FTP lub 210-230 W; przerwy 5 min easy.</x:v>
      </x:c>
      <x:c r="G182" s="54" t="str">
        <x:v>MOCNY</x:v>
      </x:c>
      <x:c r="H182" s="54" t="str">
        <x:v>Moc pod 70.3</x:v>
      </x:c>
      <x:c r="I182" s="54" t="str">
        <x:v>2-3 h przed: kleik/ryż/wafle + miód/dżem; mało tłuszczu i błonnika.</x:v>
      </x:c>
      <x:c r="J182" s="54" t="str">
        <x:v>Ryż/ziemniaki/kasza + lekkie białko + warzywa.</x:v>
      </x:c>
      <x:c r="K182" s="54" t="str">
        <x:v>Po: 20-35 g białka + węgle; elektrolity.</x:v>
      </x:c>
      <x:c r="L182" s="54"/>
      <x:c r="M182" s="54"/>
      <x:c r="N182" s="54"/>
      <x:c r="O182" s="54"/>
      <x:c r="P182" s="54"/>
      <x:c r="Q182" s="54" t="str">
        <x:v>Jeśli ból ≥3/10 lub sen &lt;6 h: zamień na easy 30-45 min albo basen.</x:v>
      </x:c>
      <x:c r="V182" s="227"/>
      <x:c r="W182" s="228"/>
      <x:c r="X182" s="226"/>
      <x:c r="Y182" s="229"/>
      <x:c r="Z182" s="227"/>
      <x:c r="AA182" s="226" t="str">
        <x:f>IF(AND(L182="",M182="",N182="",Z182=""),"",IF(OR(M182&gt;=5,N182&lt;6,L182&gt;=8),"CZERWONY",IF(OR(M182&gt;=3,N182&lt;6.5,L182&gt;=7,Z182&lt;=4),"ŻÓŁTY","OK")))</x:f>
      </x:c>
      <x:c r="AB182" s="226" t="str">
        <x:f>IF(AA182="","",IF(AA182="OK","Realizuj plan normalnie.",IF(AA182="ŻÓŁTY","Skróć 10-30% albo zamień akcent na easy.", "STOP mocne bodźce: wolne/basen/Tacx Z1 48-72 h.")))</x:f>
      </x:c>
    </x:row>
    <x:row r="183">
      <x:c r="A183" s="77" t="n">
        <x:v>46457</x:v>
      </x:c>
      <x:c r="B183" s="78" t="str">
        <x:v>Czwartek</x:v>
      </x:c>
      <x:c r="C183" s="78" t="str">
        <x:v>Tydzień 26 (Build 1)</x:v>
      </x:c>
      <x:c r="D183" s="78" t="str">
        <x:v>Więcej jakości na rowerze i kontrolowane zakładki</x:v>
      </x:c>
      <x:c r="E183" s="78" t="str">
        <x:v>Bieg easy + BASEN</x:v>
      </x:c>
      <x:c r="F183" s="78" t="str">
        <x:v>RANO: 6-10 km easy + mobility. WIECZÓR: 1800-2400 m: CSS 8-12x100 m albo 5x200 m, równe tempo, bez zajeżdżania. Zapisz średnie tempo/100 m.</x:v>
      </x:c>
      <x:c r="G183" s="78" t="str">
        <x:v>ŁATWY</x:v>
      </x:c>
      <x:c r="H183" s="78" t="str">
        <x:v>Progresja pływania/CSS</x:v>
      </x:c>
      <x:c r="I183" s="78" t="str">
        <x:v>Jajka lub jogurt/skyr + owoce; kawa spokojnie.</x:v>
      </x:c>
      <x:c r="J183" s="78" t="str">
        <x:v>Zupa/kasza/ryż + warzywa + białko; nawodnienie.</x:v>
      </x:c>
      <x:c r="K183" s="78" t="str">
        <x:v>Lekka kolacja: ryż/ziemniaki + ryba/tofu/jaja + warzywa.</x:v>
      </x:c>
      <x:c r="L183" s="78"/>
      <x:c r="M183" s="78"/>
      <x:c r="N183" s="78"/>
      <x:c r="O183" s="78"/>
      <x:c r="P183" s="78"/>
      <x:c r="Q183" s="78" t="str">
        <x:v>Jeśli technika się sypie: skróć odcinki, wydłuż przerwy, nie dokładaj metrów.</x:v>
      </x:c>
      <x:c r="V183" s="227"/>
      <x:c r="W183" s="228"/>
      <x:c r="X183" s="226"/>
      <x:c r="Y183" s="229"/>
      <x:c r="Z183" s="227"/>
      <x:c r="AA183" s="226" t="str">
        <x:f>IF(AND(L183="",M183="",N183="",Z183=""),"",IF(OR(M183&gt;=5,N183&lt;6,L183&gt;=8),"CZERWONY",IF(OR(M183&gt;=3,N183&lt;6.5,L183&gt;=7,Z183&lt;=4),"ŻÓŁTY","OK")))</x:f>
      </x:c>
      <x:c r="AB183" s="226" t="str">
        <x:f>IF(AA183="","",IF(AA183="OK","Realizuj plan normalnie.",IF(AA183="ŻÓŁTY","Skróć 10-30% albo zamień akcent na easy.", "STOP mocne bodźce: wolne/basen/Tacx Z1 48-72 h.")))</x:f>
      </x:c>
    </x:row>
    <x:row r="184">
      <x:c r="A184" s="71" t="n">
        <x:v>46458</x:v>
      </x:c>
      <x:c r="B184" s="72" t="str">
        <x:v>Piątek</x:v>
      </x:c>
      <x:c r="C184" s="72" t="str">
        <x:v>Tydzień 26 (Build 1)</x:v>
      </x:c>
      <x:c r="D184" s="72" t="str">
        <x:v>Więcej jakości na rowerze i kontrolowane zakładki</x:v>
      </x:c>
      <x:c r="E184" s="72" t="str">
        <x:v>WOLNE</x:v>
      </x:c>
      <x:c r="F184" s="72" t="str">
        <x:v>Pełna regeneracja. Zero nadrabiania. Sprawdź sen, RPE i ból.</x:v>
      </x:c>
      <x:c r="G184" s="72" t="str">
        <x:v>WOLNE</x:v>
      </x:c>
      <x:c r="H184" s="72" t="str">
        <x:v>Adaptacja</x:v>
      </x:c>
      <x:c r="I184" s="72" t="str">
        <x:v>Normalne śniadanie, bez wymuszonego ładowania.</x:v>
      </x:c>
      <x:c r="J184" s="72" t="str">
        <x:v>Warzywa + białko + spokojna porcja węgli.</x:v>
      </x:c>
      <x:c r="K184" s="72" t="str">
        <x:v>Lekko, prosto, sen ważniejszy niż idealne makro.</x:v>
      </x:c>
      <x:c r="L184" s="72"/>
      <x:c r="M184" s="72"/>
      <x:c r="N184" s="72"/>
      <x:c r="O184" s="72"/>
      <x:c r="P184" s="72"/>
      <x:c r="Q184" s="72" t="str">
        <x:v>Nie nadrabiaj zaległości. Regeneracja jest częścią planu.</x:v>
      </x:c>
      <x:c r="V184" s="227"/>
      <x:c r="W184" s="228"/>
      <x:c r="X184" s="226"/>
      <x:c r="Y184" s="229"/>
      <x:c r="Z184" s="227"/>
      <x:c r="AA184" s="226" t="str">
        <x:f>IF(AND(L184="",M184="",N184="",Z184=""),"",IF(OR(M184&gt;=5,N184&lt;6,L184&gt;=8),"CZERWONY",IF(OR(M184&gt;=3,N184&lt;6.5,L184&gt;=7,Z184&lt;=4),"ŻÓŁTY","OK")))</x:f>
      </x:c>
      <x:c r="AB184" s="226" t="str">
        <x:f>IF(AA184="","",IF(AA184="OK","Realizuj plan normalnie.",IF(AA184="ŻÓŁTY","Skróć 10-30% albo zamień akcent na easy.", "STOP mocne bodźce: wolne/basen/Tacx Z1 48-72 h.")))</x:f>
      </x:c>
    </x:row>
    <x:row r="185">
      <x:c r="A185" s="113" t="n">
        <x:v>46459</x:v>
      </x:c>
      <x:c r="B185" s="107" t="str">
        <x:v>Sobota</x:v>
      </x:c>
      <x:c r="C185" s="107" t="str">
        <x:v>Tydzień 26 (Build 1)</x:v>
      </x:c>
      <x:c r="D185" s="107" t="str">
        <x:v>Więcej jakości na rowerze i kontrolowane zakładki</x:v>
      </x:c>
      <x:c r="E185" s="107" t="str">
        <x:v>Rower długi + T2 kontrolowana</x:v>
      </x:c>
      <x:c r="F185" s="107" t="str">
        <x:v>220 min: większość Z2, ostatnie 30 min stabilnie w pozycji aero + 9 km T2. Twardy cap roweru: max 210-220 min; jakość &gt; objętość. Paliwo 70-90 g węgli/h.</x:v>
      </x:c>
      <x:c r="G185" s="107" t="str">
        <x:v>LONG</x:v>
      </x:c>
      <x:c r="H185" s="107" t="str">
        <x:v>Rower + adaptacja T2</x:v>
      </x:c>
      <x:c r="I185" s="107" t="str">
        <x:v>3 h przed: sprawdzony posiłek węglowodanowy; bez nowych produktów.</x:v>
      </x:c>
      <x:c r="J185" s="107" t="str">
        <x:v>Po treningu: ryż/ziemniaki + białko + sól/elektrolity.</x:v>
      </x:c>
      <x:c r="K185" s="107" t="str">
        <x:v>Kolacja regeneracyjna: węgle + białko + warzywa; uzupełnij płyny.</x:v>
      </x:c>
      <x:c r="L185" s="107"/>
      <x:c r="M185" s="107"/>
      <x:c r="N185" s="107"/>
      <x:c r="O185" s="107"/>
      <x:c r="P185" s="107"/>
      <x:c r="Q185" s="107" t="str">
        <x:v>Jeśli RPE &gt;7, ból narasta lub paliwo nie wchodzi: skróć T2, nie wydłużaj roweru.</x:v>
      </x:c>
      <x:c r="V185" s="227"/>
      <x:c r="W185" s="228"/>
      <x:c r="X185" s="226"/>
      <x:c r="Y185" s="229"/>
      <x:c r="Z185" s="227"/>
      <x:c r="AA185" s="226" t="str">
        <x:f>IF(AND(L185="",M185="",N185="",Z185=""),"",IF(OR(M185&gt;=5,N185&lt;6,L185&gt;=8),"CZERWONY",IF(OR(M185&gt;=3,N185&lt;6.5,L185&gt;=7,Z185&lt;=4),"ŻÓŁTY","OK")))</x:f>
      </x:c>
      <x:c r="AB185" s="226" t="str">
        <x:f>IF(AA185="","",IF(AA185="OK","Realizuj plan normalnie.",IF(AA185="ŻÓŁTY","Skróć 10-30% albo zamień akcent na easy.", "STOP mocne bodźce: wolne/basen/Tacx Z1 48-72 h.")))</x:f>
      </x:c>
    </x:row>
    <x:row r="186">
      <x:c r="A186" s="113" t="n">
        <x:v>46460</x:v>
      </x:c>
      <x:c r="B186" s="107" t="str">
        <x:v>Niedziela</x:v>
      </x:c>
      <x:c r="C186" s="107" t="str">
        <x:v>Tydzień 26 (Build 1)</x:v>
      </x:c>
      <x:c r="D186" s="107" t="str">
        <x:v>Więcej jakości na rowerze i kontrolowane zakładki</x:v>
      </x:c>
      <x:c r="E186" s="107" t="str">
        <x:v>Bieg długi easy</x:v>
      </x:c>
      <x:c r="F186" s="107" t="str">
        <x:v>18-20 km easy. Ostatnie 10 min steady tylko jeśli świeżo.</x:v>
      </x:c>
      <x:c r="G186" s="107" t="str">
        <x:v>LONG</x:v>
      </x:c>
      <x:c r="H186" s="107" t="str">
        <x:v>Wytrzymałość po rowerze</x:v>
      </x:c>
      <x:c r="I186" s="107" t="str">
        <x:v>3 h przed: sprawdzony posiłek węglowodanowy; bez nowych produktów.</x:v>
      </x:c>
      <x:c r="J186" s="107" t="str">
        <x:v>Po treningu: ryż/ziemniaki + białko + sól/elektrolity.</x:v>
      </x:c>
      <x:c r="K186" s="107" t="str">
        <x:v>Kolacja regeneracyjna: węgle + białko + warzywa; uzupełnij płyny.</x:v>
      </x:c>
      <x:c r="L186" s="107"/>
      <x:c r="M186" s="107"/>
      <x:c r="N186" s="107"/>
      <x:c r="O186" s="107"/>
      <x:c r="P186" s="107"/>
      <x:c r="Q186" s="107" t="str">
        <x:v>Jeśli ból narasta lub RPE &gt;7 przed połową: skróć, nie nadrabiaj kilometrów.</x:v>
      </x:c>
      <x:c r="V186" s="227"/>
      <x:c r="W186" s="228"/>
      <x:c r="X186" s="226"/>
      <x:c r="Y186" s="229"/>
      <x:c r="Z186" s="227"/>
      <x:c r="AA186" s="226" t="str">
        <x:f>IF(AND(L186="",M186="",N186="",Z186=""),"",IF(OR(M186&gt;=5,N186&lt;6,L186&gt;=8),"CZERWONY",IF(OR(M186&gt;=3,N186&lt;6.5,L186&gt;=7,Z186&lt;=4),"ŻÓŁTY","OK")))</x:f>
      </x:c>
      <x:c r="AB186" s="226" t="str">
        <x:f>IF(AA186="","",IF(AA186="OK","Realizuj plan normalnie.",IF(AA186="ŻÓŁTY","Skróć 10-30% albo zamień akcent na easy.", "STOP mocne bodźce: wolne/basen/Tacx Z1 48-72 h.")))</x:f>
      </x:c>
    </x:row>
    <x:row r="187">
      <x:c r="A187" s="77" t="n">
        <x:v>46461</x:v>
      </x:c>
      <x:c r="B187" s="78" t="str">
        <x:v>Poniedziałek</x:v>
      </x:c>
      <x:c r="C187" s="78" t="str">
        <x:v>Tydzień 27 (Build 1)</x:v>
      </x:c>
      <x:c r="D187" s="78" t="str">
        <x:v>Więcej jakości na rowerze i kontrolowane zakładki</x:v>
      </x:c>
      <x:c r="E187" s="78" t="str">
        <x:v>BASEN technika</x:v>
      </x:c>
      <x:c r="F187" s="78" t="str">
        <x:v>1800-2400 m: CSS 8-12x100 m albo 5x200 m, równe tempo, bez zajeżdżania. Zapisz średnie tempo/100 m.</x:v>
      </x:c>
      <x:c r="G187" s="78" t="str">
        <x:v>ŁATWY</x:v>
      </x:c>
      <x:c r="H187" s="78" t="str">
        <x:v>Progresja pływania/CSS</x:v>
      </x:c>
      <x:c r="I187" s="78" t="str">
        <x:v>Jajka lub jogurt/skyr + owoce; kawa spokojnie.</x:v>
      </x:c>
      <x:c r="J187" s="78" t="str">
        <x:v>Zupa/kasza/ryż + warzywa + białko; nawodnienie.</x:v>
      </x:c>
      <x:c r="K187" s="78" t="str">
        <x:v>Lekka kolacja: ryż/ziemniaki + ryba/tofu/jaja + warzywa.</x:v>
      </x:c>
      <x:c r="L187" s="78"/>
      <x:c r="M187" s="78"/>
      <x:c r="N187" s="78"/>
      <x:c r="O187" s="78"/>
      <x:c r="P187" s="78"/>
      <x:c r="Q187" s="78" t="str">
        <x:v>Jeśli technika się sypie: skróć odcinki, wydłuż przerwy, nie dokładaj metrów.</x:v>
      </x:c>
      <x:c r="V187" s="227"/>
      <x:c r="W187" s="228"/>
      <x:c r="X187" s="226"/>
      <x:c r="Y187" s="229"/>
      <x:c r="Z187" s="227"/>
      <x:c r="AA187" s="226" t="str">
        <x:f>IF(AND(L187="",M187="",N187="",Z187=""),"",IF(OR(M187&gt;=5,N187&lt;6,L187&gt;=8),"CZERWONY",IF(OR(M187&gt;=3,N187&lt;6.5,L187&gt;=7,Z187&lt;=4),"ŻÓŁTY","OK")))</x:f>
      </x:c>
      <x:c r="AB187" s="226" t="str">
        <x:f>IF(AA187="","",IF(AA187="OK","Realizuj plan normalnie.",IF(AA187="ŻÓŁTY","Skróć 10-30% albo zamień akcent na easy.", "STOP mocne bodźce: wolne/basen/Tacx Z1 48-72 h.")))</x:f>
      </x:c>
    </x:row>
    <x:row r="188">
      <x:c r="A188" s="113" t="n">
        <x:v>46462</x:v>
      </x:c>
      <x:c r="B188" s="107" t="str">
        <x:v>Wtorek</x:v>
      </x:c>
      <x:c r="C188" s="107" t="str">
        <x:v>Tydzień 27 (Build 1)</x:v>
      </x:c>
      <x:c r="D188" s="107" t="str">
        <x:v>Więcej jakości na rowerze i kontrolowane zakładki</x:v>
      </x:c>
      <x:c r="E188" s="107" t="str">
        <x:v>Bieg easy + rytmy</x:v>
      </x:c>
      <x:c r="F188" s="107" t="str">
        <x:v>6-8 km easy + 4x20 s rytmy tylko jeśli świeżo. Tydzień lżejszy.</x:v>
      </x:c>
      <x:c r="G188" s="107" t="str">
        <x:v>REGENERACJA</x:v>
      </x:c>
      <x:c r="H188" s="107" t="str">
        <x:v>Odświeżenie</x:v>
      </x:c>
      <x:c r="I188" s="107" t="str">
        <x:v>Normalne śniadanie, bez wymuszonego ładowania.</x:v>
      </x:c>
      <x:c r="J188" s="107" t="str">
        <x:v>Warzywa + białko + spokojna porcja węgli.</x:v>
      </x:c>
      <x:c r="K188" s="107" t="str">
        <x:v>Lekko, prosto, sen ważniejszy niż idealne makro.</x:v>
      </x:c>
      <x:c r="L188" s="107"/>
      <x:c r="M188" s="107"/>
      <x:c r="N188" s="107"/>
      <x:c r="O188" s="107"/>
      <x:c r="P188" s="107"/>
      <x:c r="Q188" s="107" t="str">
        <x:v>Nie nadrabiaj zaległości. Regeneracja jest częścią planu.</x:v>
      </x:c>
      <x:c r="V188" s="227"/>
      <x:c r="W188" s="228"/>
      <x:c r="X188" s="226"/>
      <x:c r="Y188" s="229"/>
      <x:c r="Z188" s="227"/>
      <x:c r="AA188" s="226" t="str">
        <x:f>IF(AND(L188="",M188="",N188="",Z188=""),"",IF(OR(M188&gt;=5,N188&lt;6,L188&gt;=8),"CZERWONY",IF(OR(M188&gt;=3,N188&lt;6.5,L188&gt;=7,Z188&lt;=4),"ŻÓŁTY","OK")))</x:f>
      </x:c>
      <x:c r="AB188" s="226" t="str">
        <x:f>IF(AA188="","",IF(AA188="OK","Realizuj plan normalnie.",IF(AA188="ŻÓŁTY","Skróć 10-30% albo zamień akcent na easy.", "STOP mocne bodźce: wolne/basen/Tacx Z1 48-72 h.")))</x:f>
      </x:c>
    </x:row>
    <x:row r="189">
      <x:c r="A189" s="113" t="n">
        <x:v>46463</x:v>
      </x:c>
      <x:c r="B189" s="107" t="str">
        <x:v>Środa</x:v>
      </x:c>
      <x:c r="C189" s="107" t="str">
        <x:v>Tydzień 27 (Build 1)</x:v>
      </x:c>
      <x:c r="D189" s="107" t="str">
        <x:v>Więcej jakości na rowerze i kontrolowane zakładki</x:v>
      </x:c>
      <x:c r="E189" s="107" t="str">
        <x:v>Tacx regeneracyjny</x:v>
      </x:c>
      <x:c r="F189" s="107" t="str">
        <x:v>45-60 min Z1/Z2 135-165 W. STAŁY limit regeneracji: bez skalowania minut, bez sweet spot.</x:v>
      </x:c>
      <x:c r="G189" s="107" t="str">
        <x:v>REGENERACJA</x:v>
      </x:c>
      <x:c r="H189" s="107" t="str">
        <x:v>Odświeżenie</x:v>
      </x:c>
      <x:c r="I189" s="107" t="str">
        <x:v>Normalne śniadanie, bez wymuszonego ładowania.</x:v>
      </x:c>
      <x:c r="J189" s="107" t="str">
        <x:v>Warzywa + białko + spokojna porcja węgli.</x:v>
      </x:c>
      <x:c r="K189" s="107" t="str">
        <x:v>Lekko, prosto, sen ważniejszy niż idealne makro.</x:v>
      </x:c>
      <x:c r="L189" s="107"/>
      <x:c r="M189" s="107"/>
      <x:c r="N189" s="107"/>
      <x:c r="O189" s="107"/>
      <x:c r="P189" s="107"/>
      <x:c r="Q189" s="107" t="str">
        <x:v>Nie nadrabiaj zaległości. Regeneracja jest częścią planu.</x:v>
      </x:c>
      <x:c r="V189" s="227"/>
      <x:c r="W189" s="228"/>
      <x:c r="X189" s="226"/>
      <x:c r="Y189" s="229"/>
      <x:c r="Z189" s="227"/>
      <x:c r="AA189" s="226" t="str">
        <x:f>IF(AND(L189="",M189="",N189="",Z189=""),"",IF(OR(M189&gt;=5,N189&lt;6,L189&gt;=8),"CZERWONY",IF(OR(M189&gt;=3,N189&lt;6.5,L189&gt;=7,Z189&lt;=4),"ŻÓŁTY","OK")))</x:f>
      </x:c>
      <x:c r="AB189" s="226" t="str">
        <x:f>IF(AA189="","",IF(AA189="OK","Realizuj plan normalnie.",IF(AA189="ŻÓŁTY","Skróć 10-30% albo zamień akcent na easy.", "STOP mocne bodźce: wolne/basen/Tacx Z1 48-72 h.")))</x:f>
      </x:c>
    </x:row>
    <x:row r="190">
      <x:c r="A190" s="77" t="n">
        <x:v>46464</x:v>
      </x:c>
      <x:c r="B190" s="78" t="str">
        <x:v>Czwartek</x:v>
      </x:c>
      <x:c r="C190" s="78" t="str">
        <x:v>Tydzień 27 (Build 1)</x:v>
      </x:c>
      <x:c r="D190" s="78" t="str">
        <x:v>Więcej jakości na rowerze i kontrolowane zakładki</x:v>
      </x:c>
      <x:c r="E190" s="78" t="str">
        <x:v>Bieg easy + BASEN</x:v>
      </x:c>
      <x:c r="F190" s="78" t="str">
        <x:v>RANO: 6-10 km easy + mobility. WIECZÓR: 1800-2400 m: CSS 8-12x100 m albo 5x200 m, równe tempo, bez zajeżdżania. Zapisz średnie tempo/100 m.</x:v>
      </x:c>
      <x:c r="G190" s="78" t="str">
        <x:v>ŁATWY</x:v>
      </x:c>
      <x:c r="H190" s="78" t="str">
        <x:v>Progresja pływania/CSS</x:v>
      </x:c>
      <x:c r="I190" s="78" t="str">
        <x:v>Jajka lub jogurt/skyr + owoce; kawa spokojnie.</x:v>
      </x:c>
      <x:c r="J190" s="78" t="str">
        <x:v>Zupa/kasza/ryż + warzywa + białko; nawodnienie.</x:v>
      </x:c>
      <x:c r="K190" s="78" t="str">
        <x:v>Lekka kolacja: ryż/ziemniaki + ryba/tofu/jaja + warzywa.</x:v>
      </x:c>
      <x:c r="L190" s="78"/>
      <x:c r="M190" s="78"/>
      <x:c r="N190" s="78"/>
      <x:c r="O190" s="78"/>
      <x:c r="P190" s="78"/>
      <x:c r="Q190" s="78" t="str">
        <x:v>Jeśli technika się sypie: skróć odcinki, wydłuż przerwy, nie dokładaj metrów.</x:v>
      </x:c>
      <x:c r="V190" s="227"/>
      <x:c r="W190" s="228"/>
      <x:c r="X190" s="226"/>
      <x:c r="Y190" s="229"/>
      <x:c r="Z190" s="227"/>
      <x:c r="AA190" s="226" t="str">
        <x:f>IF(AND(L190="",M190="",N190="",Z190=""),"",IF(OR(M190&gt;=5,N190&lt;6,L190&gt;=8),"CZERWONY",IF(OR(M190&gt;=3,N190&lt;6.5,L190&gt;=7,Z190&lt;=4),"ŻÓŁTY","OK")))</x:f>
      </x:c>
      <x:c r="AB190" s="226" t="str">
        <x:f>IF(AA190="","",IF(AA190="OK","Realizuj plan normalnie.",IF(AA190="ŻÓŁTY","Skróć 10-30% albo zamień akcent na easy.", "STOP mocne bodźce: wolne/basen/Tacx Z1 48-72 h.")))</x:f>
      </x:c>
    </x:row>
    <x:row r="191">
      <x:c r="A191" s="71" t="n">
        <x:v>46465</x:v>
      </x:c>
      <x:c r="B191" s="72" t="str">
        <x:v>Piątek</x:v>
      </x:c>
      <x:c r="C191" s="72" t="str">
        <x:v>Tydzień 27 (Build 1)</x:v>
      </x:c>
      <x:c r="D191" s="72" t="str">
        <x:v>Więcej jakości na rowerze i kontrolowane zakładki</x:v>
      </x:c>
      <x:c r="E191" s="72" t="str">
        <x:v>WOLNE</x:v>
      </x:c>
      <x:c r="F191" s="72" t="str">
        <x:v>Pełna regeneracja. Zero nadrabiania. Sprawdź sen, RPE i ból.</x:v>
      </x:c>
      <x:c r="G191" s="72" t="str">
        <x:v>WOLNE</x:v>
      </x:c>
      <x:c r="H191" s="72" t="str">
        <x:v>Adaptacja</x:v>
      </x:c>
      <x:c r="I191" s="72" t="str">
        <x:v>Normalne śniadanie, bez wymuszonego ładowania.</x:v>
      </x:c>
      <x:c r="J191" s="72" t="str">
        <x:v>Warzywa + białko + spokojna porcja węgli.</x:v>
      </x:c>
      <x:c r="K191" s="72" t="str">
        <x:v>Lekko, prosto, sen ważniejszy niż idealne makro.</x:v>
      </x:c>
      <x:c r="L191" s="72"/>
      <x:c r="M191" s="72"/>
      <x:c r="N191" s="72"/>
      <x:c r="O191" s="72"/>
      <x:c r="P191" s="72"/>
      <x:c r="Q191" s="72" t="str">
        <x:v>Nie nadrabiaj zaległości. Regeneracja jest częścią planu.</x:v>
      </x:c>
      <x:c r="V191" s="227"/>
      <x:c r="W191" s="228"/>
      <x:c r="X191" s="226"/>
      <x:c r="Y191" s="229"/>
      <x:c r="Z191" s="227"/>
      <x:c r="AA191" s="226" t="str">
        <x:f>IF(AND(L191="",M191="",N191="",Z191=""),"",IF(OR(M191&gt;=5,N191&lt;6,L191&gt;=8),"CZERWONY",IF(OR(M191&gt;=3,N191&lt;6.5,L191&gt;=7,Z191&lt;=4),"ŻÓŁTY","OK")))</x:f>
      </x:c>
      <x:c r="AB191" s="226" t="str">
        <x:f>IF(AA191="","",IF(AA191="OK","Realizuj plan normalnie.",IF(AA191="ŻÓŁTY","Skróć 10-30% albo zamień akcent na easy.", "STOP mocne bodźce: wolne/basen/Tacx Z1 48-72 h.")))</x:f>
      </x:c>
    </x:row>
    <x:row r="192">
      <x:c r="A192" s="113" t="n">
        <x:v>46466</x:v>
      </x:c>
      <x:c r="B192" s="107" t="str">
        <x:v>Sobota</x:v>
      </x:c>
      <x:c r="C192" s="107" t="str">
        <x:v>Tydzień 27 (Build 1)</x:v>
      </x:c>
      <x:c r="D192" s="107" t="str">
        <x:v>Więcej jakości na rowerze i kontrolowane zakładki</x:v>
      </x:c>
      <x:c r="E192" s="107" t="str">
        <x:v>Rower regeneracyjny</x:v>
      </x:c>
      <x:c r="F192" s="107" t="str">
        <x:v>45-60 min Z1/Z2. Bez T2. To jest prawdziwy tydzień regeneracyjny.</x:v>
      </x:c>
      <x:c r="G192" s="107" t="str">
        <x:v>REGENERACJA</x:v>
      </x:c>
      <x:c r="H192" s="107" t="str">
        <x:v>Zrzut zmęczenia</x:v>
      </x:c>
      <x:c r="I192" s="107" t="str">
        <x:v>Normalne śniadanie, bez wymuszonego ładowania.</x:v>
      </x:c>
      <x:c r="J192" s="107" t="str">
        <x:v>Warzywa + białko + spokojna porcja węgli.</x:v>
      </x:c>
      <x:c r="K192" s="107" t="str">
        <x:v>Lekko, prosto, sen ważniejszy niż idealne makro.</x:v>
      </x:c>
      <x:c r="L192" s="107"/>
      <x:c r="M192" s="107"/>
      <x:c r="N192" s="107"/>
      <x:c r="O192" s="107"/>
      <x:c r="P192" s="107"/>
      <x:c r="Q192" s="107" t="str">
        <x:v>Nie nadrabiaj zaległości. Regeneracja jest częścią planu.</x:v>
      </x:c>
      <x:c r="V192" s="227"/>
      <x:c r="W192" s="228"/>
      <x:c r="X192" s="226"/>
      <x:c r="Y192" s="229"/>
      <x:c r="Z192" s="227"/>
      <x:c r="AA192" s="226" t="str">
        <x:f>IF(AND(L192="",M192="",N192="",Z192=""),"",IF(OR(M192&gt;=5,N192&lt;6,L192&gt;=8),"CZERWONY",IF(OR(M192&gt;=3,N192&lt;6.5,L192&gt;=7,Z192&lt;=4),"ŻÓŁTY","OK")))</x:f>
      </x:c>
      <x:c r="AB192" s="226" t="str">
        <x:f>IF(AA192="","",IF(AA192="OK","Realizuj plan normalnie.",IF(AA192="ŻÓŁTY","Skróć 10-30% albo zamień akcent na easy.", "STOP mocne bodźce: wolne/basen/Tacx Z1 48-72 h.")))</x:f>
      </x:c>
    </x:row>
    <x:row r="193">
      <x:c r="A193" s="113" t="n">
        <x:v>46467</x:v>
      </x:c>
      <x:c r="B193" s="107" t="str">
        <x:v>Niedziela</x:v>
      </x:c>
      <x:c r="C193" s="107" t="str">
        <x:v>Tydzień 27 (Build 1)</x:v>
      </x:c>
      <x:c r="D193" s="107" t="str">
        <x:v>Więcej jakości na rowerze i kontrolowane zakładki</x:v>
      </x:c>
      <x:c r="E193" s="107" t="str">
        <x:v>Bieg easy krótki</x:v>
      </x:c>
      <x:c r="F193" s="107" t="str">
        <x:v>6-10 km easy 5:45-6:15/km. Tydzień lżejszy, bez ambicji.</x:v>
      </x:c>
      <x:c r="G193" s="107" t="str">
        <x:v>REGENERACJA</x:v>
      </x:c>
      <x:c r="H193" s="107" t="str">
        <x:v>Odświeżenie</x:v>
      </x:c>
      <x:c r="I193" s="107" t="str">
        <x:v>Normalne śniadanie, bez wymuszonego ładowania.</x:v>
      </x:c>
      <x:c r="J193" s="107" t="str">
        <x:v>Warzywa + białko + spokojna porcja węgli.</x:v>
      </x:c>
      <x:c r="K193" s="107" t="str">
        <x:v>Lekko, prosto, sen ważniejszy niż idealne makro.</x:v>
      </x:c>
      <x:c r="L193" s="107"/>
      <x:c r="M193" s="107"/>
      <x:c r="N193" s="107"/>
      <x:c r="O193" s="107"/>
      <x:c r="P193" s="107"/>
      <x:c r="Q193" s="107" t="str">
        <x:v>Nie nadrabiaj zaległości. Regeneracja jest częścią planu.</x:v>
      </x:c>
      <x:c r="V193" s="227"/>
      <x:c r="W193" s="228"/>
      <x:c r="X193" s="226"/>
      <x:c r="Y193" s="229"/>
      <x:c r="Z193" s="227"/>
      <x:c r="AA193" s="226" t="str">
        <x:f>IF(AND(L193="",M193="",N193="",Z193=""),"",IF(OR(M193&gt;=5,N193&lt;6,L193&gt;=8),"CZERWONY",IF(OR(M193&gt;=3,N193&lt;6.5,L193&gt;=7,Z193&lt;=4),"ŻÓŁTY","OK")))</x:f>
      </x:c>
      <x:c r="AB193" s="226" t="str">
        <x:f>IF(AA193="","",IF(AA193="OK","Realizuj plan normalnie.",IF(AA193="ŻÓŁTY","Skróć 10-30% albo zamień akcent na easy.", "STOP mocne bodźce: wolne/basen/Tacx Z1 48-72 h.")))</x:f>
      </x:c>
    </x:row>
    <x:row r="194">
      <x:c r="A194" s="77" t="n">
        <x:v>46468</x:v>
      </x:c>
      <x:c r="B194" s="78" t="str">
        <x:v>Poniedziałek</x:v>
      </x:c>
      <x:c r="C194" s="78" t="str">
        <x:v>Tydzień 28 (Build 2)</x:v>
      </x:c>
      <x:c r="D194" s="78" t="str">
        <x:v>Dłuższe rowery, bieganie po rowerze, kontrola paliwa</x:v>
      </x:c>
      <x:c r="E194" s="78" t="str">
        <x:v>BASEN technika</x:v>
      </x:c>
      <x:c r="F194" s="78" t="str">
        <x:v>2200-2800 m: CSS progression 10x100 m lub 6x200 m + 400-600 m ciągiem. Praca nad rytmem 70.3.</x:v>
      </x:c>
      <x:c r="G194" s="78" t="str">
        <x:v>ŁATWY</x:v>
      </x:c>
      <x:c r="H194" s="78" t="str">
        <x:v>Progresja pływania/CSS</x:v>
      </x:c>
      <x:c r="I194" s="78" t="str">
        <x:v>Jajka lub jogurt/skyr + owoce; kawa spokojnie.</x:v>
      </x:c>
      <x:c r="J194" s="78" t="str">
        <x:v>Zupa/kasza/ryż + warzywa + białko; nawodnienie.</x:v>
      </x:c>
      <x:c r="K194" s="78" t="str">
        <x:v>Lekka kolacja: ryż/ziemniaki + ryba/tofu/jaja + warzywa.</x:v>
      </x:c>
      <x:c r="L194" s="78"/>
      <x:c r="M194" s="78"/>
      <x:c r="N194" s="78"/>
      <x:c r="O194" s="78"/>
      <x:c r="P194" s="78"/>
      <x:c r="Q194" s="78" t="str">
        <x:v>Jeśli technika się sypie: skróć odcinki, wydłuż przerwy, nie dokładaj metrów.</x:v>
      </x:c>
      <x:c r="V194" s="227"/>
      <x:c r="W194" s="228"/>
      <x:c r="X194" s="226"/>
      <x:c r="Y194" s="229"/>
      <x:c r="Z194" s="227"/>
      <x:c r="AA194" s="226" t="str">
        <x:f>IF(AND(L194="",M194="",N194="",Z194=""),"",IF(OR(M194&gt;=5,N194&lt;6,L194&gt;=8),"CZERWONY",IF(OR(M194&gt;=3,N194&lt;6.5,L194&gt;=7,Z194&lt;=4),"ŻÓŁTY","OK")))</x:f>
      </x:c>
      <x:c r="AB194" s="226" t="str">
        <x:f>IF(AA194="","",IF(AA194="OK","Realizuj plan normalnie.",IF(AA194="ŻÓŁTY","Skróć 10-30% albo zamień akcent na easy.", "STOP mocne bodźce: wolne/basen/Tacx Z1 48-72 h.")))</x:f>
      </x:c>
    </x:row>
    <x:row r="195">
      <x:c r="A195" s="53" t="n">
        <x:v>46469</x:v>
      </x:c>
      <x:c r="B195" s="54" t="str">
        <x:v>Wtorek</x:v>
      </x:c>
      <x:c r="C195" s="54" t="str">
        <x:v>Tydzień 28 (Build 2)</x:v>
      </x:c>
      <x:c r="D195" s="54" t="str">
        <x:v>Dłuższe rowery, bieganie po rowerze, kontrola paliwa</x:v>
      </x:c>
      <x:c r="E195" s="54" t="str">
        <x:v>Bieg jakościowy</x:v>
      </x:c>
      <x:c r="F195" s="54" t="str">
        <x:v>10-14 km: 3x2 km w tempie 70.3 4:55-5:05/km / 1 km easy.</x:v>
      </x:c>
      <x:c r="G195" s="54" t="str">
        <x:v>MP/RACE PACE</x:v>
      </x:c>
      <x:c r="H195" s="54" t="str">
        <x:v>Tempo po zmęczeniu</x:v>
      </x:c>
      <x:c r="I195" s="54" t="str">
        <x:v>2-3 h przed: kleik/ryż/wafle + miód/dżem; mało tłuszczu i błonnika.</x:v>
      </x:c>
      <x:c r="J195" s="54" t="str">
        <x:v>Ryż/ziemniaki/kasza + lekkie białko + warzywa.</x:v>
      </x:c>
      <x:c r="K195" s="54" t="str">
        <x:v>Po: 20-35 g białka + węgle; elektrolity.</x:v>
      </x:c>
      <x:c r="L195" s="54"/>
      <x:c r="M195" s="54"/>
      <x:c r="N195" s="54"/>
      <x:c r="O195" s="54"/>
      <x:c r="P195" s="54"/>
      <x:c r="Q195" s="54" t="str">
        <x:v>Jeśli ból ≥3/10 lub sen &lt;6 h: zamień na easy 30-45 min albo basen.</x:v>
      </x:c>
      <x:c r="V195" s="227"/>
      <x:c r="W195" s="228"/>
      <x:c r="X195" s="226"/>
      <x:c r="Y195" s="229"/>
      <x:c r="Z195" s="227"/>
      <x:c r="AA195" s="226" t="str">
        <x:f>IF(AND(L195="",M195="",N195="",Z195=""),"",IF(OR(M195&gt;=5,N195&lt;6,L195&gt;=8),"CZERWONY",IF(OR(M195&gt;=3,N195&lt;6.5,L195&gt;=7,Z195&lt;=4),"ŻÓŁTY","OK")))</x:f>
      </x:c>
      <x:c r="AB195" s="226" t="str">
        <x:f>IF(AA195="","",IF(AA195="OK","Realizuj plan normalnie.",IF(AA195="ŻÓŁTY","Skróć 10-30% albo zamień akcent na easy.", "STOP mocne bodźce: wolne/basen/Tacx Z1 48-72 h.")))</x:f>
      </x:c>
    </x:row>
    <x:row r="196">
      <x:c r="A196" s="53" t="n">
        <x:v>46470</x:v>
      </x:c>
      <x:c r="B196" s="54" t="str">
        <x:v>Środa</x:v>
      </x:c>
      <x:c r="C196" s="54" t="str">
        <x:v>Tydzień 28 (Build 2)</x:v>
      </x:c>
      <x:c r="D196" s="54" t="str">
        <x:v>Dłuższe rowery, bieganie po rowerze, kontrola paliwa</x:v>
      </x:c>
      <x:c r="E196" s="54" t="str">
        <x:v>TEST FTP / Ramp lub 20 min</x:v>
      </x:c>
      <x:c r="F196" s="54" t="str">
        <x:v>Rozgrzewka 20 min + ramp test albo 20 min FTP + schłodzenie. Po teście aktualizuj strefy watów.</x:v>
      </x:c>
      <x:c r="G196" s="54" t="str">
        <x:v>TEST/START</x:v>
      </x:c>
      <x:c r="H196" s="54" t="str">
        <x:v>Kalibracja mocy</x:v>
      </x:c>
      <x:c r="I196" s="54" t="str">
        <x:v>3 h przed: sprawdzony posiłek węglowodanowy; bez nowych produktów.</x:v>
      </x:c>
      <x:c r="J196" s="54" t="str">
        <x:v>Po treningu: ryż/ziemniaki + białko + sól/elektrolity.</x:v>
      </x:c>
      <x:c r="K196" s="54" t="str">
        <x:v>Kolacja regeneracyjna: węgle + białko + warzywa; uzupełnij płyny.</x:v>
      </x:c>
      <x:c r="L196" s="54"/>
      <x:c r="M196" s="54"/>
      <x:c r="N196" s="54"/>
      <x:c r="O196" s="54"/>
      <x:c r="P196" s="54"/>
      <x:c r="Q196" s="54" t="str">
        <x:v>Jeśli ból ≥3/10 lub sen &lt;6 h: zamień na easy 30-45 min albo basen.</x:v>
      </x:c>
      <x:c r="V196" s="227"/>
      <x:c r="W196" s="228"/>
      <x:c r="X196" s="226"/>
      <x:c r="Y196" s="229"/>
      <x:c r="Z196" s="227"/>
      <x:c r="AA196" s="226" t="str">
        <x:f>IF(AND(L196="",M196="",N196="",Z196=""),"",IF(OR(M196&gt;=5,N196&lt;6,L196&gt;=8),"CZERWONY",IF(OR(M196&gt;=3,N196&lt;6.5,L196&gt;=7,Z196&lt;=4),"ŻÓŁTY","OK")))</x:f>
      </x:c>
      <x:c r="AB196" s="226" t="str">
        <x:f>IF(AA196="","",IF(AA196="OK","Realizuj plan normalnie.",IF(AA196="ŻÓŁTY","Skróć 10-30% albo zamień akcent na easy.", "STOP mocne bodźce: wolne/basen/Tacx Z1 48-72 h.")))</x:f>
      </x:c>
    </x:row>
    <x:row r="197">
      <x:c r="A197" s="77" t="n">
        <x:v>46471</x:v>
      </x:c>
      <x:c r="B197" s="78" t="str">
        <x:v>Czwartek</x:v>
      </x:c>
      <x:c r="C197" s="78" t="str">
        <x:v>Tydzień 28 (Build 2)</x:v>
      </x:c>
      <x:c r="D197" s="78" t="str">
        <x:v>Dłuższe rowery, bieganie po rowerze, kontrola paliwa</x:v>
      </x:c>
      <x:c r="E197" s="78" t="str">
        <x:v>Bieg easy + BASEN</x:v>
      </x:c>
      <x:c r="F197" s="78" t="str">
        <x:v>RANO: 6-10 km easy + mobility. WIECZÓR: 2200-2800 m: CSS progression 10x100 m lub 6x200 m + 400-600 m ciągiem. Praca nad rytmem 70.3.</x:v>
      </x:c>
      <x:c r="G197" s="78" t="str">
        <x:v>ŁATWY</x:v>
      </x:c>
      <x:c r="H197" s="78" t="str">
        <x:v>Progresja pływania/CSS</x:v>
      </x:c>
      <x:c r="I197" s="78" t="str">
        <x:v>Jajka lub jogurt/skyr + owoce; kawa spokojnie.</x:v>
      </x:c>
      <x:c r="J197" s="78" t="str">
        <x:v>Zupa/kasza/ryż + warzywa + białko; nawodnienie.</x:v>
      </x:c>
      <x:c r="K197" s="78" t="str">
        <x:v>Lekka kolacja: ryż/ziemniaki + ryba/tofu/jaja + warzywa.</x:v>
      </x:c>
      <x:c r="L197" s="78"/>
      <x:c r="M197" s="78"/>
      <x:c r="N197" s="78"/>
      <x:c r="O197" s="78"/>
      <x:c r="P197" s="78"/>
      <x:c r="Q197" s="78" t="str">
        <x:v>Jeśli technika się sypie: skróć odcinki, wydłuż przerwy, nie dokładaj metrów.</x:v>
      </x:c>
      <x:c r="V197" s="227"/>
      <x:c r="W197" s="228"/>
      <x:c r="X197" s="226"/>
      <x:c r="Y197" s="229"/>
      <x:c r="Z197" s="227"/>
      <x:c r="AA197" s="226" t="str">
        <x:f>IF(AND(L197="",M197="",N197="",Z197=""),"",IF(OR(M197&gt;=5,N197&lt;6,L197&gt;=8),"CZERWONY",IF(OR(M197&gt;=3,N197&lt;6.5,L197&gt;=7,Z197&lt;=4),"ŻÓŁTY","OK")))</x:f>
      </x:c>
      <x:c r="AB197" s="226" t="str">
        <x:f>IF(AA197="","",IF(AA197="OK","Realizuj plan normalnie.",IF(AA197="ŻÓŁTY","Skróć 10-30% albo zamień akcent na easy.", "STOP mocne bodźce: wolne/basen/Tacx Z1 48-72 h.")))</x:f>
      </x:c>
    </x:row>
    <x:row r="198">
      <x:c r="A198" s="71" t="n">
        <x:v>46472</x:v>
      </x:c>
      <x:c r="B198" s="72" t="str">
        <x:v>Piątek</x:v>
      </x:c>
      <x:c r="C198" s="72" t="str">
        <x:v>Tydzień 28 (Build 2)</x:v>
      </x:c>
      <x:c r="D198" s="72" t="str">
        <x:v>Dłuższe rowery, bieganie po rowerze, kontrola paliwa</x:v>
      </x:c>
      <x:c r="E198" s="72" t="str">
        <x:v>WOLNE</x:v>
      </x:c>
      <x:c r="F198" s="72" t="str">
        <x:v>Pełna regeneracja. Zero nadrabiania. Sprawdź sen, RPE i ból.</x:v>
      </x:c>
      <x:c r="G198" s="72" t="str">
        <x:v>WOLNE</x:v>
      </x:c>
      <x:c r="H198" s="72" t="str">
        <x:v>Adaptacja</x:v>
      </x:c>
      <x:c r="I198" s="72" t="str">
        <x:v>Normalne śniadanie, bez wymuszonego ładowania.</x:v>
      </x:c>
      <x:c r="J198" s="72" t="str">
        <x:v>Warzywa + białko + spokojna porcja węgli.</x:v>
      </x:c>
      <x:c r="K198" s="72" t="str">
        <x:v>Lekko, prosto, sen ważniejszy niż idealne makro.</x:v>
      </x:c>
      <x:c r="L198" s="72"/>
      <x:c r="M198" s="72"/>
      <x:c r="N198" s="72"/>
      <x:c r="O198" s="72"/>
      <x:c r="P198" s="72"/>
      <x:c r="Q198" s="72" t="str">
        <x:v>Nie nadrabiaj zaległości. Regeneracja jest częścią planu.</x:v>
      </x:c>
      <x:c r="V198" s="227"/>
      <x:c r="W198" s="228"/>
      <x:c r="X198" s="226"/>
      <x:c r="Y198" s="229"/>
      <x:c r="Z198" s="227"/>
      <x:c r="AA198" s="226" t="str">
        <x:f>IF(AND(L198="",M198="",N198="",Z198=""),"",IF(OR(M198&gt;=5,N198&lt;6,L198&gt;=8),"CZERWONY",IF(OR(M198&gt;=3,N198&lt;6.5,L198&gt;=7,Z198&lt;=4),"ŻÓŁTY","OK")))</x:f>
      </x:c>
      <x:c r="AB198" s="226" t="str">
        <x:f>IF(AA198="","",IF(AA198="OK","Realizuj plan normalnie.",IF(AA198="ŻÓŁTY","Skróć 10-30% albo zamień akcent na easy.", "STOP mocne bodźce: wolne/basen/Tacx Z1 48-72 h.")))</x:f>
      </x:c>
    </x:row>
    <x:row r="199">
      <x:c r="A199" s="113" t="n">
        <x:v>46473</x:v>
      </x:c>
      <x:c r="B199" s="107" t="str">
        <x:v>Sobota</x:v>
      </x:c>
      <x:c r="C199" s="107" t="str">
        <x:v>Tydzień 28 (Build 2)</x:v>
      </x:c>
      <x:c r="D199" s="107" t="str">
        <x:v>Dłuższe rowery, bieganie po rowerze, kontrola paliwa</x:v>
      </x:c>
      <x:c r="E199" s="107" t="str">
        <x:v>Rower długi + Zakładka T2</x:v>
      </x:c>
      <x:c r="F199" s="107" t="str">
        <x:v>180 min Z2 z kontrolą kadencji + 8 km T2 easy. Paliwo 60-80 g węgli/h.</x:v>
      </x:c>
      <x:c r="G199" s="107" t="str">
        <x:v>LONG</x:v>
      </x:c>
      <x:c r="H199" s="107" t="str">
        <x:v>Rower + adaptacja T2</x:v>
      </x:c>
      <x:c r="I199" s="107" t="str">
        <x:v>3 h przed: sprawdzony posiłek węglowodanowy; bez nowych produktów.</x:v>
      </x:c>
      <x:c r="J199" s="107" t="str">
        <x:v>Po treningu: ryż/ziemniaki + białko + sól/elektrolity.</x:v>
      </x:c>
      <x:c r="K199" s="107" t="str">
        <x:v>Kolacja regeneracyjna: węgle + białko + warzywa; uzupełnij płyny.</x:v>
      </x:c>
      <x:c r="L199" s="107"/>
      <x:c r="M199" s="107"/>
      <x:c r="N199" s="107"/>
      <x:c r="O199" s="107"/>
      <x:c r="P199" s="107"/>
      <x:c r="Q199" s="107" t="str">
        <x:v>Jeśli ból narasta lub RPE &gt;7 przed połową: skróć, nie nadrabiaj kilometrów.</x:v>
      </x:c>
      <x:c r="V199" s="227"/>
      <x:c r="W199" s="228"/>
      <x:c r="X199" s="226"/>
      <x:c r="Y199" s="229"/>
      <x:c r="Z199" s="227"/>
      <x:c r="AA199" s="226" t="str">
        <x:f>IF(AND(L199="",M199="",N199="",Z199=""),"",IF(OR(M199&gt;=5,N199&lt;6,L199&gt;=8),"CZERWONY",IF(OR(M199&gt;=3,N199&lt;6.5,L199&gt;=7,Z199&lt;=4),"ŻÓŁTY","OK")))</x:f>
      </x:c>
      <x:c r="AB199" s="226" t="str">
        <x:f>IF(AA199="","",IF(AA199="OK","Realizuj plan normalnie.",IF(AA199="ŻÓŁTY","Skróć 10-30% albo zamień akcent na easy.", "STOP mocne bodźce: wolne/basen/Tacx Z1 48-72 h.")))</x:f>
      </x:c>
    </x:row>
    <x:row r="200">
      <x:c r="A200" s="113" t="n">
        <x:v>46474</x:v>
      </x:c>
      <x:c r="B200" s="107" t="str">
        <x:v>Niedziela</x:v>
      </x:c>
      <x:c r="C200" s="107" t="str">
        <x:v>Tydzień 28 (Build 2)</x:v>
      </x:c>
      <x:c r="D200" s="107" t="str">
        <x:v>Dłuższe rowery, bieganie po rowerze, kontrola paliwa</x:v>
      </x:c>
      <x:c r="E200" s="107" t="str">
        <x:v>Bieg długi easy</x:v>
      </x:c>
      <x:c r="F200" s="107" t="str">
        <x:v>18-20 km easy 5:35-6:05/km. Ostatnie 3 km steady tylko jeśli nogi świeże.</x:v>
      </x:c>
      <x:c r="G200" s="107" t="str">
        <x:v>LONG</x:v>
      </x:c>
      <x:c r="H200" s="107" t="str">
        <x:v>Baza biegowa</x:v>
      </x:c>
      <x:c r="I200" s="107" t="str">
        <x:v>3 h przed: sprawdzony posiłek węglowodanowy; bez nowych produktów.</x:v>
      </x:c>
      <x:c r="J200" s="107" t="str">
        <x:v>Po treningu: ryż/ziemniaki + białko + sól/elektrolity.</x:v>
      </x:c>
      <x:c r="K200" s="107" t="str">
        <x:v>Kolacja regeneracyjna: węgle + białko + warzywa; uzupełnij płyny.</x:v>
      </x:c>
      <x:c r="L200" s="107"/>
      <x:c r="M200" s="107"/>
      <x:c r="N200" s="107"/>
      <x:c r="O200" s="107"/>
      <x:c r="P200" s="107"/>
      <x:c r="Q200" s="107" t="str">
        <x:v>Jeśli sobotni rower wszedł ciężko: skróć bieg o 30-50% albo zamień na 40 min easy/spacer.</x:v>
      </x:c>
      <x:c r="V200" s="227"/>
      <x:c r="W200" s="228"/>
      <x:c r="X200" s="226"/>
      <x:c r="Y200" s="229"/>
      <x:c r="Z200" s="227"/>
      <x:c r="AA200" s="226" t="str">
        <x:f>IF(AND(L200="",M200="",N200="",Z200=""),"",IF(OR(M200&gt;=5,N200&lt;6,L200&gt;=8),"CZERWONY",IF(OR(M200&gt;=3,N200&lt;6.5,L200&gt;=7,Z200&lt;=4),"ŻÓŁTY","OK")))</x:f>
      </x:c>
      <x:c r="AB200" s="226" t="str">
        <x:f>IF(AA200="","",IF(AA200="OK","Realizuj plan normalnie.",IF(AA200="ŻÓŁTY","Skróć 10-30% albo zamień akcent na easy.", "STOP mocne bodźce: wolne/basen/Tacx Z1 48-72 h.")))</x:f>
      </x:c>
    </x:row>
    <x:row r="201">
      <x:c r="A201" s="77" t="n">
        <x:v>46475</x:v>
      </x:c>
      <x:c r="B201" s="78" t="str">
        <x:v>Poniedziałek</x:v>
      </x:c>
      <x:c r="C201" s="78" t="str">
        <x:v>Tydzień 29 (Build 2)</x:v>
      </x:c>
      <x:c r="D201" s="78" t="str">
        <x:v>Dłuższe rowery, bieganie po rowerze, kontrola paliwa</x:v>
      </x:c>
      <x:c r="E201" s="78" t="str">
        <x:v>BASEN technika</x:v>
      </x:c>
      <x:c r="F201" s="78" t="str">
        <x:v>2200-2800 m: CSS progression 10x100 m lub 6x200 m + 400-600 m ciągiem. Praca nad rytmem 70.3.</x:v>
      </x:c>
      <x:c r="G201" s="78" t="str">
        <x:v>ŁATWY</x:v>
      </x:c>
      <x:c r="H201" s="78" t="str">
        <x:v>Progresja pływania/CSS</x:v>
      </x:c>
      <x:c r="I201" s="78" t="str">
        <x:v>Jajka lub jogurt/skyr + owoce; kawa spokojnie.</x:v>
      </x:c>
      <x:c r="J201" s="78" t="str">
        <x:v>Zupa/kasza/ryż + warzywa + białko; nawodnienie.</x:v>
      </x:c>
      <x:c r="K201" s="78" t="str">
        <x:v>Lekka kolacja: ryż/ziemniaki + ryba/tofu/jaja + warzywa.</x:v>
      </x:c>
      <x:c r="L201" s="78"/>
      <x:c r="M201" s="78"/>
      <x:c r="N201" s="78"/>
      <x:c r="O201" s="78"/>
      <x:c r="P201" s="78"/>
      <x:c r="Q201" s="78" t="str">
        <x:v>Jeśli technika się sypie: skróć odcinki, wydłuż przerwy, nie dokładaj metrów.</x:v>
      </x:c>
      <x:c r="V201" s="227"/>
      <x:c r="W201" s="228"/>
      <x:c r="X201" s="226"/>
      <x:c r="Y201" s="229"/>
      <x:c r="Z201" s="227"/>
      <x:c r="AA201" s="226" t="str">
        <x:f>IF(AND(L201="",M201="",N201="",Z201=""),"",IF(OR(M201&gt;=5,N201&lt;6,L201&gt;=8),"CZERWONY",IF(OR(M201&gt;=3,N201&lt;6.5,L201&gt;=7,Z201&lt;=4),"ŻÓŁTY","OK")))</x:f>
      </x:c>
      <x:c r="AB201" s="226" t="str">
        <x:f>IF(AA201="","",IF(AA201="OK","Realizuj plan normalnie.",IF(AA201="ŻÓŁTY","Skróć 10-30% albo zamień akcent na easy.", "STOP mocne bodźce: wolne/basen/Tacx Z1 48-72 h.")))</x:f>
      </x:c>
    </x:row>
    <x:row r="202">
      <x:c r="A202" s="53" t="n">
        <x:v>46476</x:v>
      </x:c>
      <x:c r="B202" s="54" t="str">
        <x:v>Wtorek</x:v>
      </x:c>
      <x:c r="C202" s="54" t="str">
        <x:v>Tydzień 29 (Build 2)</x:v>
      </x:c>
      <x:c r="D202" s="54" t="str">
        <x:v>Dłuższe rowery, bieganie po rowerze, kontrola paliwa</x:v>
      </x:c>
      <x:c r="E202" s="54" t="str">
        <x:v>Bieg jakościowy</x:v>
      </x:c>
      <x:c r="F202" s="54" t="str">
        <x:v>10-14 km: 3x2 km w tempie 70.3 4:55-5:05/km / 1 km easy.</x:v>
      </x:c>
      <x:c r="G202" s="54" t="str">
        <x:v>MP/RACE PACE</x:v>
      </x:c>
      <x:c r="H202" s="54" t="str">
        <x:v>Tempo po zmęczeniu</x:v>
      </x:c>
      <x:c r="I202" s="54" t="str">
        <x:v>2-3 h przed: kleik/ryż/wafle + miód/dżem; mało tłuszczu i błonnika.</x:v>
      </x:c>
      <x:c r="J202" s="54" t="str">
        <x:v>Ryż/ziemniaki/kasza + lekkie białko + warzywa.</x:v>
      </x:c>
      <x:c r="K202" s="54" t="str">
        <x:v>Po: 20-35 g białka + węgle; elektrolity.</x:v>
      </x:c>
      <x:c r="L202" s="54"/>
      <x:c r="M202" s="54"/>
      <x:c r="N202" s="54"/>
      <x:c r="O202" s="54"/>
      <x:c r="P202" s="54"/>
      <x:c r="Q202" s="54" t="str">
        <x:v>Jeśli ból ≥3/10 lub sen &lt;6 h: zamień na easy 30-45 min albo basen.</x:v>
      </x:c>
      <x:c r="V202" s="227"/>
      <x:c r="W202" s="228"/>
      <x:c r="X202" s="226"/>
      <x:c r="Y202" s="229"/>
      <x:c r="Z202" s="227"/>
      <x:c r="AA202" s="226" t="str">
        <x:f>IF(AND(L202="",M202="",N202="",Z202=""),"",IF(OR(M202&gt;=5,N202&lt;6,L202&gt;=8),"CZERWONY",IF(OR(M202&gt;=3,N202&lt;6.5,L202&gt;=7,Z202&lt;=4),"ŻÓŁTY","OK")))</x:f>
      </x:c>
      <x:c r="AB202" s="226" t="str">
        <x:f>IF(AA202="","",IF(AA202="OK","Realizuj plan normalnie.",IF(AA202="ŻÓŁTY","Skróć 10-30% albo zamień akcent na easy.", "STOP mocne bodźce: wolne/basen/Tacx Z1 48-72 h.")))</x:f>
      </x:c>
    </x:row>
    <x:row r="203">
      <x:c r="A203" s="53" t="n">
        <x:v>46477</x:v>
      </x:c>
      <x:c r="B203" s="54" t="str">
        <x:v>Środa</x:v>
      </x:c>
      <x:c r="C203" s="54" t="str">
        <x:v>Tydzień 29 (Build 2)</x:v>
      </x:c>
      <x:c r="D203" s="54" t="str">
        <x:v>Dłuższe rowery, bieganie po rowerze, kontrola paliwa</x:v>
      </x:c>
      <x:c r="E203" s="54" t="str">
        <x:v>Tacx sweet spot / race pace</x:v>
      </x:c>
      <x:c r="F203" s="54" t="str">
        <x:v>80-100 min: 3x12-15 min 88-94% FTP lub 210-230 W; przerwy 5 min easy.</x:v>
      </x:c>
      <x:c r="G203" s="54" t="str">
        <x:v>MOCNY</x:v>
      </x:c>
      <x:c r="H203" s="54" t="str">
        <x:v>Moc pod 70.3</x:v>
      </x:c>
      <x:c r="I203" s="54" t="str">
        <x:v>2-3 h przed: kleik/ryż/wafle + miód/dżem; mało tłuszczu i błonnika.</x:v>
      </x:c>
      <x:c r="J203" s="54" t="str">
        <x:v>Ryż/ziemniaki/kasza + lekkie białko + warzywa.</x:v>
      </x:c>
      <x:c r="K203" s="54" t="str">
        <x:v>Po: 20-35 g białka + węgle; elektrolity.</x:v>
      </x:c>
      <x:c r="L203" s="54"/>
      <x:c r="M203" s="54"/>
      <x:c r="N203" s="54"/>
      <x:c r="O203" s="54"/>
      <x:c r="P203" s="54"/>
      <x:c r="Q203" s="54" t="str">
        <x:v>Jeśli ból ≥3/10 lub sen &lt;6 h: zamień na easy 30-45 min albo basen.</x:v>
      </x:c>
      <x:c r="V203" s="227"/>
      <x:c r="W203" s="228"/>
      <x:c r="X203" s="226"/>
      <x:c r="Y203" s="229"/>
      <x:c r="Z203" s="227"/>
      <x:c r="AA203" s="226" t="str">
        <x:f>IF(AND(L203="",M203="",N203="",Z203=""),"",IF(OR(M203&gt;=5,N203&lt;6,L203&gt;=8),"CZERWONY",IF(OR(M203&gt;=3,N203&lt;6.5,L203&gt;=7,Z203&lt;=4),"ŻÓŁTY","OK")))</x:f>
      </x:c>
      <x:c r="AB203" s="226" t="str">
        <x:f>IF(AA203="","",IF(AA203="OK","Realizuj plan normalnie.",IF(AA203="ŻÓŁTY","Skróć 10-30% albo zamień akcent na easy.", "STOP mocne bodźce: wolne/basen/Tacx Z1 48-72 h.")))</x:f>
      </x:c>
    </x:row>
    <x:row r="204" ht="26" customHeight="1">
      <x:c r="A204" s="148" t="n">
        <x:v>46478</x:v>
      </x:c>
      <x:c r="B204" s="149" t="str">
        <x:v>Czwartek</x:v>
      </x:c>
      <x:c r="C204" s="149" t="str">
        <x:v>Tydzień 29 (Build 2)</x:v>
      </x:c>
      <x:c r="D204" s="150" t="str">
        <x:v>Dłuższe rowery, bieganie po rowerze, kontrola paliwa</x:v>
      </x:c>
      <x:c r="E204" s="150" t="str">
        <x:v>Bieg easy + BASEN</x:v>
      </x:c>
      <x:c r="F204" s="150" t="str">
        <x:v>RANO: 6-10 km easy + mobility. WIECZÓR: 2200-2800 m: CSS progression 10x100 m lub 6x200 m + 400-600 m ciągiem. Praca nad rytmem 70.3.</x:v>
      </x:c>
      <x:c r="G204" s="150" t="str">
        <x:v>ŁATWY</x:v>
      </x:c>
      <x:c r="H204" s="150" t="str">
        <x:v>Progresja pływania/CSS</x:v>
      </x:c>
      <x:c r="I204" s="150" t="str">
        <x:v>Jajka lub jogurt/skyr + owoce; kawa spokojnie.</x:v>
      </x:c>
      <x:c r="J204" s="150" t="str">
        <x:v>Zupa/kasza/ryż + warzywa + białko; nawodnienie.</x:v>
      </x:c>
      <x:c r="K204" s="150" t="str">
        <x:v>Lekka kolacja: ryż/ziemniaki + ryba/tofu/jaja + warzywa.</x:v>
      </x:c>
      <x:c r="L204" s="150"/>
      <x:c r="M204" s="150"/>
      <x:c r="N204" s="150"/>
      <x:c r="O204" s="150"/>
      <x:c r="P204" s="150"/>
      <x:c r="Q204" s="150" t="str">
        <x:v>Jeśli technika się sypie: skróć odcinki, wydłuż przerwy, nie dokładaj metrów.</x:v>
      </x:c>
      <x:c r="R204" s="136" t="str">
        <x:v>KWIECIEŃ 2027</x:v>
      </x:c>
      <x:c r="V204" s="227"/>
      <x:c r="W204" s="228"/>
      <x:c r="X204" s="226"/>
      <x:c r="Y204" s="229"/>
      <x:c r="Z204" s="227"/>
      <x:c r="AA204" s="226" t="str">
        <x:f>IF(AND(L204="",M204="",N204="",Z204=""),"",IF(OR(M204&gt;=5,N204&lt;6,L204&gt;=8),"CZERWONY",IF(OR(M204&gt;=3,N204&lt;6.5,L204&gt;=7,Z204&lt;=4),"ŻÓŁTY","OK")))</x:f>
      </x:c>
      <x:c r="AB204" s="226" t="str">
        <x:f>IF(AA204="","",IF(AA204="OK","Realizuj plan normalnie.",IF(AA204="ŻÓŁTY","Skróć 10-30% albo zamień akcent na easy.", "STOP mocne bodźce: wolne/basen/Tacx Z1 48-72 h.")))</x:f>
      </x:c>
    </x:row>
    <x:row r="205">
      <x:c r="A205" s="71" t="n">
        <x:v>46479</x:v>
      </x:c>
      <x:c r="B205" s="72" t="str">
        <x:v>Piątek</x:v>
      </x:c>
      <x:c r="C205" s="72" t="str">
        <x:v>Tydzień 29 (Build 2)</x:v>
      </x:c>
      <x:c r="D205" s="72" t="str">
        <x:v>Dłuższe rowery, bieganie po rowerze, kontrola paliwa</x:v>
      </x:c>
      <x:c r="E205" s="72" t="str">
        <x:v>WOLNE</x:v>
      </x:c>
      <x:c r="F205" s="72" t="str">
        <x:v>Pełna regeneracja. Zero nadrabiania. Sprawdź sen, RPE i ból.</x:v>
      </x:c>
      <x:c r="G205" s="72" t="str">
        <x:v>WOLNE</x:v>
      </x:c>
      <x:c r="H205" s="72" t="str">
        <x:v>Adaptacja</x:v>
      </x:c>
      <x:c r="I205" s="72" t="str">
        <x:v>Normalne śniadanie, bez wymuszonego ładowania.</x:v>
      </x:c>
      <x:c r="J205" s="72" t="str">
        <x:v>Warzywa + białko + spokojna porcja węgli.</x:v>
      </x:c>
      <x:c r="K205" s="72" t="str">
        <x:v>Lekko, prosto, sen ważniejszy niż idealne makro.</x:v>
      </x:c>
      <x:c r="L205" s="72"/>
      <x:c r="M205" s="72"/>
      <x:c r="N205" s="72"/>
      <x:c r="O205" s="72"/>
      <x:c r="P205" s="72"/>
      <x:c r="Q205" s="72" t="str">
        <x:v>Nie nadrabiaj zaległości. Regeneracja jest częścią planu.</x:v>
      </x:c>
      <x:c r="V205" s="227"/>
      <x:c r="W205" s="228"/>
      <x:c r="X205" s="226"/>
      <x:c r="Y205" s="229"/>
      <x:c r="Z205" s="227"/>
      <x:c r="AA205" s="226" t="str">
        <x:f>IF(AND(L205="",M205="",N205="",Z205=""),"",IF(OR(M205&gt;=5,N205&lt;6,L205&gt;=8),"CZERWONY",IF(OR(M205&gt;=3,N205&lt;6.5,L205&gt;=7,Z205&lt;=4),"ŻÓŁTY","OK")))</x:f>
      </x:c>
      <x:c r="AB205" s="226" t="str">
        <x:f>IF(AA205="","",IF(AA205="OK","Realizuj plan normalnie.",IF(AA205="ŻÓŁTY","Skróć 10-30% albo zamień akcent na easy.", "STOP mocne bodźce: wolne/basen/Tacx Z1 48-72 h.")))</x:f>
      </x:c>
    </x:row>
    <x:row r="206">
      <x:c r="A206" s="113" t="n">
        <x:v>46480</x:v>
      </x:c>
      <x:c r="B206" s="107" t="str">
        <x:v>Sobota</x:v>
      </x:c>
      <x:c r="C206" s="107" t="str">
        <x:v>Tydzień 29 (Build 2)</x:v>
      </x:c>
      <x:c r="D206" s="107" t="str">
        <x:v>Dłuższe rowery, bieganie po rowerze, kontrola paliwa</x:v>
      </x:c>
      <x:c r="E206" s="107" t="str">
        <x:v>Rower długi + Zakładka T2</x:v>
      </x:c>
      <x:c r="F206" s="107" t="str">
        <x:v>210 min Z2 z kontrolą kadencji + 10 km T2 easy. Paliwo 60-80 g węgli/h.</x:v>
      </x:c>
      <x:c r="G206" s="107" t="str">
        <x:v>LONG</x:v>
      </x:c>
      <x:c r="H206" s="107" t="str">
        <x:v>Rower + adaptacja T2</x:v>
      </x:c>
      <x:c r="I206" s="107" t="str">
        <x:v>3 h przed: sprawdzony posiłek węglowodanowy; bez nowych produktów.</x:v>
      </x:c>
      <x:c r="J206" s="107" t="str">
        <x:v>Po treningu: ryż/ziemniaki + białko + sól/elektrolity.</x:v>
      </x:c>
      <x:c r="K206" s="107" t="str">
        <x:v>Kolacja regeneracyjna: węgle + białko + warzywa; uzupełnij płyny.</x:v>
      </x:c>
      <x:c r="L206" s="107"/>
      <x:c r="M206" s="107"/>
      <x:c r="N206" s="107"/>
      <x:c r="O206" s="107"/>
      <x:c r="P206" s="107"/>
      <x:c r="Q206" s="107" t="str">
        <x:v>Jeśli ból narasta lub RPE &gt;7 przed połową: skróć, nie nadrabiaj kilometrów.</x:v>
      </x:c>
      <x:c r="V206" s="227"/>
      <x:c r="W206" s="228"/>
      <x:c r="X206" s="226"/>
      <x:c r="Y206" s="229"/>
      <x:c r="Z206" s="227"/>
      <x:c r="AA206" s="226" t="str">
        <x:f>IF(AND(L206="",M206="",N206="",Z206=""),"",IF(OR(M206&gt;=5,N206&lt;6,L206&gt;=8),"CZERWONY",IF(OR(M206&gt;=3,N206&lt;6.5,L206&gt;=7,Z206&lt;=4),"ŻÓŁTY","OK")))</x:f>
      </x:c>
      <x:c r="AB206" s="226" t="str">
        <x:f>IF(AA206="","",IF(AA206="OK","Realizuj plan normalnie.",IF(AA206="ŻÓŁTY","Skróć 10-30% albo zamień akcent na easy.", "STOP mocne bodźce: wolne/basen/Tacx Z1 48-72 h.")))</x:f>
      </x:c>
    </x:row>
    <x:row r="207">
      <x:c r="A207" s="113" t="n">
        <x:v>46481</x:v>
      </x:c>
      <x:c r="B207" s="107" t="str">
        <x:v>Niedziela</x:v>
      </x:c>
      <x:c r="C207" s="107" t="str">
        <x:v>Tydzień 29 (Build 2)</x:v>
      </x:c>
      <x:c r="D207" s="107" t="str">
        <x:v>Dłuższe rowery, bieganie po rowerze, kontrola paliwa</x:v>
      </x:c>
      <x:c r="E207" s="107" t="str">
        <x:v>Bieg długi 70.3</x:v>
      </x:c>
      <x:c r="F207" s="107" t="str">
        <x:v>20 km: 12 km easy + 2x3 km w tempie 70.3 4:55-5:05/km / 1 km easy + schłodzenie.</x:v>
      </x:c>
      <x:c r="G207" s="107" t="str">
        <x:v>LONG</x:v>
      </x:c>
      <x:c r="H207" s="107" t="str">
        <x:v>Race pace po zmęczeniu</x:v>
      </x:c>
      <x:c r="I207" s="107" t="str">
        <x:v>3 h przed: sprawdzony posiłek węglowodanowy; bez nowych produktów.</x:v>
      </x:c>
      <x:c r="J207" s="107" t="str">
        <x:v>Po treningu: ryż/ziemniaki + białko + sól/elektrolity.</x:v>
      </x:c>
      <x:c r="K207" s="107" t="str">
        <x:v>Kolacja regeneracyjna: węgle + białko + warzywa; uzupełnij płyny.</x:v>
      </x:c>
      <x:c r="L207" s="107"/>
      <x:c r="M207" s="107"/>
      <x:c r="N207" s="107"/>
      <x:c r="O207" s="107"/>
      <x:c r="P207" s="107"/>
      <x:c r="Q207" s="107" t="str">
        <x:v>Jeśli sobotni rower wszedł ciężko: skróć bieg o 30-50% albo zamień na 40 min easy/spacer.</x:v>
      </x:c>
      <x:c r="V207" s="227"/>
      <x:c r="W207" s="228"/>
      <x:c r="X207" s="226"/>
      <x:c r="Y207" s="229"/>
      <x:c r="Z207" s="227"/>
      <x:c r="AA207" s="226" t="str">
        <x:f>IF(AND(L207="",M207="",N207="",Z207=""),"",IF(OR(M207&gt;=5,N207&lt;6,L207&gt;=8),"CZERWONY",IF(OR(M207&gt;=3,N207&lt;6.5,L207&gt;=7,Z207&lt;=4),"ŻÓŁTY","OK")))</x:f>
      </x:c>
      <x:c r="AB207" s="226" t="str">
        <x:f>IF(AA207="","",IF(AA207="OK","Realizuj plan normalnie.",IF(AA207="ŻÓŁTY","Skróć 10-30% albo zamień akcent na easy.", "STOP mocne bodźce: wolne/basen/Tacx Z1 48-72 h.")))</x:f>
      </x:c>
    </x:row>
    <x:row r="208">
      <x:c r="A208" s="77" t="n">
        <x:v>46482</x:v>
      </x:c>
      <x:c r="B208" s="78" t="str">
        <x:v>Poniedziałek</x:v>
      </x:c>
      <x:c r="C208" s="78" t="str">
        <x:v>Tydzień 30 (Build 2)</x:v>
      </x:c>
      <x:c r="D208" s="78" t="str">
        <x:v>Dłuższe rowery, bieganie po rowerze, kontrola paliwa</x:v>
      </x:c>
      <x:c r="E208" s="78" t="str">
        <x:v>BASEN technika</x:v>
      </x:c>
      <x:c r="F208" s="78" t="str">
        <x:v>2200-2800 m: CSS progression 10x100 m lub 6x200 m + 400-600 m ciągiem. Praca nad rytmem 70.3.</x:v>
      </x:c>
      <x:c r="G208" s="78" t="str">
        <x:v>ŁATWY</x:v>
      </x:c>
      <x:c r="H208" s="78" t="str">
        <x:v>Progresja pływania/CSS</x:v>
      </x:c>
      <x:c r="I208" s="78" t="str">
        <x:v>Jajka lub jogurt/skyr + owoce; kawa spokojnie.</x:v>
      </x:c>
      <x:c r="J208" s="78" t="str">
        <x:v>Zupa/kasza/ryż + warzywa + białko; nawodnienie.</x:v>
      </x:c>
      <x:c r="K208" s="78" t="str">
        <x:v>Lekka kolacja: ryż/ziemniaki + ryba/tofu/jaja + warzywa.</x:v>
      </x:c>
      <x:c r="L208" s="78"/>
      <x:c r="M208" s="78"/>
      <x:c r="N208" s="78"/>
      <x:c r="O208" s="78"/>
      <x:c r="P208" s="78"/>
      <x:c r="Q208" s="78" t="str">
        <x:v>Jeśli technika się sypie: skróć odcinki, wydłuż przerwy, nie dokładaj metrów.</x:v>
      </x:c>
      <x:c r="V208" s="227"/>
      <x:c r="W208" s="228"/>
      <x:c r="X208" s="226"/>
      <x:c r="Y208" s="229"/>
      <x:c r="Z208" s="227"/>
      <x:c r="AA208" s="226" t="str">
        <x:f>IF(AND(L208="",M208="",N208="",Z208=""),"",IF(OR(M208&gt;=5,N208&lt;6,L208&gt;=8),"CZERWONY",IF(OR(M208&gt;=3,N208&lt;6.5,L208&gt;=7,Z208&lt;=4),"ŻÓŁTY","OK")))</x:f>
      </x:c>
      <x:c r="AB208" s="226" t="str">
        <x:f>IF(AA208="","",IF(AA208="OK","Realizuj plan normalnie.",IF(AA208="ŻÓŁTY","Skróć 10-30% albo zamień akcent na easy.", "STOP mocne bodźce: wolne/basen/Tacx Z1 48-72 h.")))</x:f>
      </x:c>
    </x:row>
    <x:row r="209">
      <x:c r="A209" s="53" t="n">
        <x:v>46483</x:v>
      </x:c>
      <x:c r="B209" s="54" t="str">
        <x:v>Wtorek</x:v>
      </x:c>
      <x:c r="C209" s="54" t="str">
        <x:v>Tydzień 30 (Build 2)</x:v>
      </x:c>
      <x:c r="D209" s="54" t="str">
        <x:v>Dłuższe rowery, bieganie po rowerze, kontrola paliwa</x:v>
      </x:c>
      <x:c r="E209" s="54" t="str">
        <x:v>Bieg jakościowy</x:v>
      </x:c>
      <x:c r="F209" s="54" t="str">
        <x:v>10-14 km: 3x2 km w tempie 70.3 4:55-5:05/km / 1 km easy.</x:v>
      </x:c>
      <x:c r="G209" s="54" t="str">
        <x:v>MP/RACE PACE</x:v>
      </x:c>
      <x:c r="H209" s="54" t="str">
        <x:v>Tempo po zmęczeniu</x:v>
      </x:c>
      <x:c r="I209" s="54" t="str">
        <x:v>2-3 h przed: kleik/ryż/wafle + miód/dżem; mało tłuszczu i błonnika.</x:v>
      </x:c>
      <x:c r="J209" s="54" t="str">
        <x:v>Ryż/ziemniaki/kasza + lekkie białko + warzywa.</x:v>
      </x:c>
      <x:c r="K209" s="54" t="str">
        <x:v>Po: 20-35 g białka + węgle; elektrolity.</x:v>
      </x:c>
      <x:c r="L209" s="54"/>
      <x:c r="M209" s="54"/>
      <x:c r="N209" s="54"/>
      <x:c r="O209" s="54"/>
      <x:c r="P209" s="54"/>
      <x:c r="Q209" s="54" t="str">
        <x:v>Jeśli ból ≥3/10 lub sen &lt;6 h: zamień na easy 30-45 min albo basen.</x:v>
      </x:c>
      <x:c r="V209" s="227"/>
      <x:c r="W209" s="228"/>
      <x:c r="X209" s="226"/>
      <x:c r="Y209" s="229"/>
      <x:c r="Z209" s="227"/>
      <x:c r="AA209" s="226" t="str">
        <x:f>IF(AND(L209="",M209="",N209="",Z209=""),"",IF(OR(M209&gt;=5,N209&lt;6,L209&gt;=8),"CZERWONY",IF(OR(M209&gt;=3,N209&lt;6.5,L209&gt;=7,Z209&lt;=4),"ŻÓŁTY","OK")))</x:f>
      </x:c>
      <x:c r="AB209" s="226" t="str">
        <x:f>IF(AA209="","",IF(AA209="OK","Realizuj plan normalnie.",IF(AA209="ŻÓŁTY","Skróć 10-30% albo zamień akcent na easy.", "STOP mocne bodźce: wolne/basen/Tacx Z1 48-72 h.")))</x:f>
      </x:c>
    </x:row>
    <x:row r="210">
      <x:c r="A210" s="53" t="n">
        <x:v>46484</x:v>
      </x:c>
      <x:c r="B210" s="54" t="str">
        <x:v>Środa</x:v>
      </x:c>
      <x:c r="C210" s="54" t="str">
        <x:v>Tydzień 30 (Build 2)</x:v>
      </x:c>
      <x:c r="D210" s="54" t="str">
        <x:v>Dłuższe rowery, bieganie po rowerze, kontrola paliwa</x:v>
      </x:c>
      <x:c r="E210" s="54" t="str">
        <x:v>Tacx sweet spot / race pace</x:v>
      </x:c>
      <x:c r="F210" s="54" t="str">
        <x:v>80-100 min: 3x12-15 min 88-94% FTP lub 210-230 W; przerwy 5 min easy.</x:v>
      </x:c>
      <x:c r="G210" s="54" t="str">
        <x:v>MOCNY</x:v>
      </x:c>
      <x:c r="H210" s="54" t="str">
        <x:v>Moc pod 70.3</x:v>
      </x:c>
      <x:c r="I210" s="54" t="str">
        <x:v>2-3 h przed: kleik/ryż/wafle + miód/dżem; mało tłuszczu i błonnika.</x:v>
      </x:c>
      <x:c r="J210" s="54" t="str">
        <x:v>Ryż/ziemniaki/kasza + lekkie białko + warzywa.</x:v>
      </x:c>
      <x:c r="K210" s="54" t="str">
        <x:v>Po: 20-35 g białka + węgle; elektrolity.</x:v>
      </x:c>
      <x:c r="L210" s="54"/>
      <x:c r="M210" s="54"/>
      <x:c r="N210" s="54"/>
      <x:c r="O210" s="54"/>
      <x:c r="P210" s="54"/>
      <x:c r="Q210" s="54" t="str">
        <x:v>Jeśli ból ≥3/10 lub sen &lt;6 h: zamień na easy 30-45 min albo basen.</x:v>
      </x:c>
      <x:c r="V210" s="227"/>
      <x:c r="W210" s="228"/>
      <x:c r="X210" s="226"/>
      <x:c r="Y210" s="229"/>
      <x:c r="Z210" s="227"/>
      <x:c r="AA210" s="226" t="str">
        <x:f>IF(AND(L210="",M210="",N210="",Z210=""),"",IF(OR(M210&gt;=5,N210&lt;6,L210&gt;=8),"CZERWONY",IF(OR(M210&gt;=3,N210&lt;6.5,L210&gt;=7,Z210&lt;=4),"ŻÓŁTY","OK")))</x:f>
      </x:c>
      <x:c r="AB210" s="226" t="str">
        <x:f>IF(AA210="","",IF(AA210="OK","Realizuj plan normalnie.",IF(AA210="ŻÓŁTY","Skróć 10-30% albo zamień akcent na easy.", "STOP mocne bodźce: wolne/basen/Tacx Z1 48-72 h.")))</x:f>
      </x:c>
    </x:row>
    <x:row r="211">
      <x:c r="A211" s="77" t="n">
        <x:v>46485</x:v>
      </x:c>
      <x:c r="B211" s="78" t="str">
        <x:v>Czwartek</x:v>
      </x:c>
      <x:c r="C211" s="78" t="str">
        <x:v>Tydzień 30 (Build 2)</x:v>
      </x:c>
      <x:c r="D211" s="78" t="str">
        <x:v>Dłuższe rowery, bieganie po rowerze, kontrola paliwa</x:v>
      </x:c>
      <x:c r="E211" s="78" t="str">
        <x:v>Bieg easy + BASEN</x:v>
      </x:c>
      <x:c r="F211" s="78" t="str">
        <x:v>RANO: 6-10 km easy + mobility. WIECZÓR: 2200-2800 m: CSS progression 10x100 m lub 6x200 m + 400-600 m ciągiem. Praca nad rytmem 70.3.</x:v>
      </x:c>
      <x:c r="G211" s="78" t="str">
        <x:v>ŁATWY</x:v>
      </x:c>
      <x:c r="H211" s="78" t="str">
        <x:v>Progresja pływania/CSS</x:v>
      </x:c>
      <x:c r="I211" s="78" t="str">
        <x:v>Jajka lub jogurt/skyr + owoce; kawa spokojnie.</x:v>
      </x:c>
      <x:c r="J211" s="78" t="str">
        <x:v>Zupa/kasza/ryż + warzywa + białko; nawodnienie.</x:v>
      </x:c>
      <x:c r="K211" s="78" t="str">
        <x:v>Lekka kolacja: ryż/ziemniaki + ryba/tofu/jaja + warzywa.</x:v>
      </x:c>
      <x:c r="L211" s="78"/>
      <x:c r="M211" s="78"/>
      <x:c r="N211" s="78"/>
      <x:c r="O211" s="78"/>
      <x:c r="P211" s="78"/>
      <x:c r="Q211" s="78" t="str">
        <x:v>Jeśli technika się sypie: skróć odcinki, wydłuż przerwy, nie dokładaj metrów.</x:v>
      </x:c>
      <x:c r="V211" s="227"/>
      <x:c r="W211" s="228"/>
      <x:c r="X211" s="226"/>
      <x:c r="Y211" s="229"/>
      <x:c r="Z211" s="227"/>
      <x:c r="AA211" s="226" t="str">
        <x:f>IF(AND(L211="",M211="",N211="",Z211=""),"",IF(OR(M211&gt;=5,N211&lt;6,L211&gt;=8),"CZERWONY",IF(OR(M211&gt;=3,N211&lt;6.5,L211&gt;=7,Z211&lt;=4),"ŻÓŁTY","OK")))</x:f>
      </x:c>
      <x:c r="AB211" s="226" t="str">
        <x:f>IF(AA211="","",IF(AA211="OK","Realizuj plan normalnie.",IF(AA211="ŻÓŁTY","Skróć 10-30% albo zamień akcent na easy.", "STOP mocne bodźce: wolne/basen/Tacx Z1 48-72 h.")))</x:f>
      </x:c>
    </x:row>
    <x:row r="212">
      <x:c r="A212" s="71" t="n">
        <x:v>46486</x:v>
      </x:c>
      <x:c r="B212" s="72" t="str">
        <x:v>Piątek</x:v>
      </x:c>
      <x:c r="C212" s="72" t="str">
        <x:v>Tydzień 30 (Build 2)</x:v>
      </x:c>
      <x:c r="D212" s="72" t="str">
        <x:v>Dłuższe rowery, bieganie po rowerze, kontrola paliwa</x:v>
      </x:c>
      <x:c r="E212" s="72" t="str">
        <x:v>WOLNE</x:v>
      </x:c>
      <x:c r="F212" s="72" t="str">
        <x:v>Pełna regeneracja. Zero nadrabiania. Sprawdź sen, RPE i ból.</x:v>
      </x:c>
      <x:c r="G212" s="72" t="str">
        <x:v>WOLNE</x:v>
      </x:c>
      <x:c r="H212" s="72" t="str">
        <x:v>Adaptacja</x:v>
      </x:c>
      <x:c r="I212" s="72" t="str">
        <x:v>Normalne śniadanie, bez wymuszonego ładowania.</x:v>
      </x:c>
      <x:c r="J212" s="72" t="str">
        <x:v>Warzywa + białko + spokojna porcja węgli.</x:v>
      </x:c>
      <x:c r="K212" s="72" t="str">
        <x:v>Lekko, prosto, sen ważniejszy niż idealne makro.</x:v>
      </x:c>
      <x:c r="L212" s="72"/>
      <x:c r="M212" s="72"/>
      <x:c r="N212" s="72"/>
      <x:c r="O212" s="72"/>
      <x:c r="P212" s="72"/>
      <x:c r="Q212" s="72" t="str">
        <x:v>Nie nadrabiaj zaległości. Regeneracja jest częścią planu.</x:v>
      </x:c>
      <x:c r="V212" s="227"/>
      <x:c r="W212" s="228"/>
      <x:c r="X212" s="226"/>
      <x:c r="Y212" s="229"/>
      <x:c r="Z212" s="227"/>
      <x:c r="AA212" s="226" t="str">
        <x:f>IF(AND(L212="",M212="",N212="",Z212=""),"",IF(OR(M212&gt;=5,N212&lt;6,L212&gt;=8),"CZERWONY",IF(OR(M212&gt;=3,N212&lt;6.5,L212&gt;=7,Z212&lt;=4),"ŻÓŁTY","OK")))</x:f>
      </x:c>
      <x:c r="AB212" s="226" t="str">
        <x:f>IF(AA212="","",IF(AA212="OK","Realizuj plan normalnie.",IF(AA212="ŻÓŁTY","Skróć 10-30% albo zamień akcent na easy.", "STOP mocne bodźce: wolne/basen/Tacx Z1 48-72 h.")))</x:f>
      </x:c>
    </x:row>
    <x:row r="213">
      <x:c r="A213" s="113" t="n">
        <x:v>46487</x:v>
      </x:c>
      <x:c r="B213" s="107" t="str">
        <x:v>Sobota</x:v>
      </x:c>
      <x:c r="C213" s="107" t="str">
        <x:v>Tydzień 30 (Build 2)</x:v>
      </x:c>
      <x:c r="D213" s="107" t="str">
        <x:v>Dłuższe rowery, bieganie po rowerze, kontrola paliwa</x:v>
      </x:c>
      <x:c r="E213" s="107" t="str">
        <x:v>Rower długi + T2 kontrolowana</x:v>
      </x:c>
      <x:c r="F213" s="107" t="str">
        <x:v>220 min: Z2 + 2x20 min race pace/aero, bez dokładania objętości + 9 km T2. Twardy cap roweru: max 210-220 min; jakość &gt; objętość. Paliwo 70-90 g węgli/h.</x:v>
      </x:c>
      <x:c r="G213" s="107" t="str">
        <x:v>LONG</x:v>
      </x:c>
      <x:c r="H213" s="107" t="str">
        <x:v>Rower + adaptacja T2</x:v>
      </x:c>
      <x:c r="I213" s="107" t="str">
        <x:v>3 h przed: sprawdzony posiłek węglowodanowy; bez nowych produktów.</x:v>
      </x:c>
      <x:c r="J213" s="107" t="str">
        <x:v>Po treningu: ryż/ziemniaki + białko + sól/elektrolity.</x:v>
      </x:c>
      <x:c r="K213" s="107" t="str">
        <x:v>Kolacja regeneracyjna: węgle + białko + warzywa; uzupełnij płyny.</x:v>
      </x:c>
      <x:c r="L213" s="107"/>
      <x:c r="M213" s="107"/>
      <x:c r="N213" s="107"/>
      <x:c r="O213" s="107"/>
      <x:c r="P213" s="107"/>
      <x:c r="Q213" s="107" t="str">
        <x:v>Jeśli RPE &gt;7, ból narasta lub paliwo nie wchodzi: skróć T2, nie wydłużaj roweru.</x:v>
      </x:c>
      <x:c r="V213" s="227"/>
      <x:c r="W213" s="228"/>
      <x:c r="X213" s="226"/>
      <x:c r="Y213" s="229"/>
      <x:c r="Z213" s="227"/>
      <x:c r="AA213" s="226" t="str">
        <x:f>IF(AND(L213="",M213="",N213="",Z213=""),"",IF(OR(M213&gt;=5,N213&lt;6,L213&gt;=8),"CZERWONY",IF(OR(M213&gt;=3,N213&lt;6.5,L213&gt;=7,Z213&lt;=4),"ŻÓŁTY","OK")))</x:f>
      </x:c>
      <x:c r="AB213" s="226" t="str">
        <x:f>IF(AA213="","",IF(AA213="OK","Realizuj plan normalnie.",IF(AA213="ŻÓŁTY","Skróć 10-30% albo zamień akcent na easy.", "STOP mocne bodźce: wolne/basen/Tacx Z1 48-72 h.")))</x:f>
      </x:c>
    </x:row>
    <x:row r="214">
      <x:c r="A214" s="113" t="n">
        <x:v>46488</x:v>
      </x:c>
      <x:c r="B214" s="107" t="str">
        <x:v>Niedziela</x:v>
      </x:c>
      <x:c r="C214" s="107" t="str">
        <x:v>Tydzień 30 (Build 2)</x:v>
      </x:c>
      <x:c r="D214" s="107" t="str">
        <x:v>Dłuższe rowery, bieganie po rowerze, kontrola paliwa</x:v>
      </x:c>
      <x:c r="E214" s="107" t="str">
        <x:v>Bieg długi 70.3</x:v>
      </x:c>
      <x:c r="F214" s="107" t="str">
        <x:v>22 km: większość easy + 6 km ciągiem w tempie 70.3 4:55-5:05/km. Nie szybciej.</x:v>
      </x:c>
      <x:c r="G214" s="107" t="str">
        <x:v>LONG</x:v>
      </x:c>
      <x:c r="H214" s="107" t="str">
        <x:v>Specyfika biegu</x:v>
      </x:c>
      <x:c r="I214" s="107" t="str">
        <x:v>3 h przed: sprawdzony posiłek węglowodanowy; bez nowych produktów.</x:v>
      </x:c>
      <x:c r="J214" s="107" t="str">
        <x:v>Po treningu: ryż/ziemniaki + białko + sól/elektrolity.</x:v>
      </x:c>
      <x:c r="K214" s="107" t="str">
        <x:v>Kolacja regeneracyjna: węgle + białko + warzywa; uzupełnij płyny.</x:v>
      </x:c>
      <x:c r="L214" s="107"/>
      <x:c r="M214" s="107"/>
      <x:c r="N214" s="107"/>
      <x:c r="O214" s="107"/>
      <x:c r="P214" s="107"/>
      <x:c r="Q214" s="107" t="str">
        <x:v>Jeśli sobotni rower wszedł ciężko: skróć bieg o 30-50% albo zamień na 40 min easy/spacer.</x:v>
      </x:c>
      <x:c r="V214" s="227"/>
      <x:c r="W214" s="228"/>
      <x:c r="X214" s="226"/>
      <x:c r="Y214" s="229"/>
      <x:c r="Z214" s="227"/>
      <x:c r="AA214" s="226" t="str">
        <x:f>IF(AND(L214="",M214="",N214="",Z214=""),"",IF(OR(M214&gt;=5,N214&lt;6,L214&gt;=8),"CZERWONY",IF(OR(M214&gt;=3,N214&lt;6.5,L214&gt;=7,Z214&lt;=4),"ŻÓŁTY","OK")))</x:f>
      </x:c>
      <x:c r="AB214" s="226" t="str">
        <x:f>IF(AA214="","",IF(AA214="OK","Realizuj plan normalnie.",IF(AA214="ŻÓŁTY","Skróć 10-30% albo zamień akcent na easy.", "STOP mocne bodźce: wolne/basen/Tacx Z1 48-72 h.")))</x:f>
      </x:c>
    </x:row>
    <x:row r="215">
      <x:c r="A215" s="77" t="n">
        <x:v>46489</x:v>
      </x:c>
      <x:c r="B215" s="78" t="str">
        <x:v>Poniedziałek</x:v>
      </x:c>
      <x:c r="C215" s="78" t="str">
        <x:v>Tydzień 31 (Build 2)</x:v>
      </x:c>
      <x:c r="D215" s="78" t="str">
        <x:v>Dłuższe rowery, bieganie po rowerze, kontrola paliwa</x:v>
      </x:c>
      <x:c r="E215" s="78" t="str">
        <x:v>BASEN technika</x:v>
      </x:c>
      <x:c r="F215" s="78" t="str">
        <x:v>2200-2800 m: CSS progression 10x100 m lub 6x200 m + 400-600 m ciągiem. Praca nad rytmem 70.3.</x:v>
      </x:c>
      <x:c r="G215" s="78" t="str">
        <x:v>ŁATWY</x:v>
      </x:c>
      <x:c r="H215" s="78" t="str">
        <x:v>Progresja pływania/CSS</x:v>
      </x:c>
      <x:c r="I215" s="78" t="str">
        <x:v>Jajka lub jogurt/skyr + owoce; kawa spokojnie.</x:v>
      </x:c>
      <x:c r="J215" s="78" t="str">
        <x:v>Zupa/kasza/ryż + warzywa + białko; nawodnienie.</x:v>
      </x:c>
      <x:c r="K215" s="78" t="str">
        <x:v>Lekka kolacja: ryż/ziemniaki + ryba/tofu/jaja + warzywa.</x:v>
      </x:c>
      <x:c r="L215" s="78"/>
      <x:c r="M215" s="78"/>
      <x:c r="N215" s="78"/>
      <x:c r="O215" s="78"/>
      <x:c r="P215" s="78"/>
      <x:c r="Q215" s="78" t="str">
        <x:v>Jeśli technika się sypie: skróć odcinki, wydłuż przerwy, nie dokładaj metrów.</x:v>
      </x:c>
      <x:c r="V215" s="227"/>
      <x:c r="W215" s="228"/>
      <x:c r="X215" s="226"/>
      <x:c r="Y215" s="229"/>
      <x:c r="Z215" s="227"/>
      <x:c r="AA215" s="226" t="str">
        <x:f>IF(AND(L215="",M215="",N215="",Z215=""),"",IF(OR(M215&gt;=5,N215&lt;6,L215&gt;=8),"CZERWONY",IF(OR(M215&gt;=3,N215&lt;6.5,L215&gt;=7,Z215&lt;=4),"ŻÓŁTY","OK")))</x:f>
      </x:c>
      <x:c r="AB215" s="226" t="str">
        <x:f>IF(AA215="","",IF(AA215="OK","Realizuj plan normalnie.",IF(AA215="ŻÓŁTY","Skróć 10-30% albo zamień akcent na easy.", "STOP mocne bodźce: wolne/basen/Tacx Z1 48-72 h.")))</x:f>
      </x:c>
    </x:row>
    <x:row r="216">
      <x:c r="A216" s="113" t="n">
        <x:v>46490</x:v>
      </x:c>
      <x:c r="B216" s="107" t="str">
        <x:v>Wtorek</x:v>
      </x:c>
      <x:c r="C216" s="107" t="str">
        <x:v>Tydzień 31 (Build 2)</x:v>
      </x:c>
      <x:c r="D216" s="107" t="str">
        <x:v>Dłuższe rowery, bieganie po rowerze, kontrola paliwa</x:v>
      </x:c>
      <x:c r="E216" s="107" t="str">
        <x:v>Bieg easy + rytmy</x:v>
      </x:c>
      <x:c r="F216" s="107" t="str">
        <x:v>6-8 km easy + 4x20 s rytmy tylko jeśli świeżo. Tydzień lżejszy.</x:v>
      </x:c>
      <x:c r="G216" s="107" t="str">
        <x:v>REGENERACJA</x:v>
      </x:c>
      <x:c r="H216" s="107" t="str">
        <x:v>Odświeżenie</x:v>
      </x:c>
      <x:c r="I216" s="107" t="str">
        <x:v>Normalne śniadanie, bez wymuszonego ładowania.</x:v>
      </x:c>
      <x:c r="J216" s="107" t="str">
        <x:v>Warzywa + białko + spokojna porcja węgli.</x:v>
      </x:c>
      <x:c r="K216" s="107" t="str">
        <x:v>Lekko, prosto, sen ważniejszy niż idealne makro.</x:v>
      </x:c>
      <x:c r="L216" s="107"/>
      <x:c r="M216" s="107"/>
      <x:c r="N216" s="107"/>
      <x:c r="O216" s="107"/>
      <x:c r="P216" s="107"/>
      <x:c r="Q216" s="107" t="str">
        <x:v>Nie nadrabiaj zaległości. Regeneracja jest częścią planu.</x:v>
      </x:c>
      <x:c r="V216" s="227"/>
      <x:c r="W216" s="228"/>
      <x:c r="X216" s="226"/>
      <x:c r="Y216" s="229"/>
      <x:c r="Z216" s="227"/>
      <x:c r="AA216" s="226" t="str">
        <x:f>IF(AND(L216="",M216="",N216="",Z216=""),"",IF(OR(M216&gt;=5,N216&lt;6,L216&gt;=8),"CZERWONY",IF(OR(M216&gt;=3,N216&lt;6.5,L216&gt;=7,Z216&lt;=4),"ŻÓŁTY","OK")))</x:f>
      </x:c>
      <x:c r="AB216" s="226" t="str">
        <x:f>IF(AA216="","",IF(AA216="OK","Realizuj plan normalnie.",IF(AA216="ŻÓŁTY","Skróć 10-30% albo zamień akcent na easy.", "STOP mocne bodźce: wolne/basen/Tacx Z1 48-72 h.")))</x:f>
      </x:c>
    </x:row>
    <x:row r="217">
      <x:c r="A217" s="113" t="n">
        <x:v>46491</x:v>
      </x:c>
      <x:c r="B217" s="107" t="str">
        <x:v>Środa</x:v>
      </x:c>
      <x:c r="C217" s="107" t="str">
        <x:v>Tydzień 31 (Build 2)</x:v>
      </x:c>
      <x:c r="D217" s="107" t="str">
        <x:v>Dłuższe rowery, bieganie po rowerze, kontrola paliwa</x:v>
      </x:c>
      <x:c r="E217" s="107" t="str">
        <x:v>Tacx regeneracyjny</x:v>
      </x:c>
      <x:c r="F217" s="107" t="str">
        <x:v>45-60 min Z1/Z2 135-165 W. STAŁY limit regeneracji: bez skalowania minut, bez sweet spot.</x:v>
      </x:c>
      <x:c r="G217" s="107" t="str">
        <x:v>REGENERACJA</x:v>
      </x:c>
      <x:c r="H217" s="107" t="str">
        <x:v>Odświeżenie</x:v>
      </x:c>
      <x:c r="I217" s="107" t="str">
        <x:v>Normalne śniadanie, bez wymuszonego ładowania.</x:v>
      </x:c>
      <x:c r="J217" s="107" t="str">
        <x:v>Warzywa + białko + spokojna porcja węgli.</x:v>
      </x:c>
      <x:c r="K217" s="107" t="str">
        <x:v>Lekko, prosto, sen ważniejszy niż idealne makro.</x:v>
      </x:c>
      <x:c r="L217" s="107"/>
      <x:c r="M217" s="107"/>
      <x:c r="N217" s="107"/>
      <x:c r="O217" s="107"/>
      <x:c r="P217" s="107"/>
      <x:c r="Q217" s="107" t="str">
        <x:v>Nie nadrabiaj zaległości. Regeneracja jest częścią planu.</x:v>
      </x:c>
      <x:c r="V217" s="227"/>
      <x:c r="W217" s="228"/>
      <x:c r="X217" s="226"/>
      <x:c r="Y217" s="229"/>
      <x:c r="Z217" s="227"/>
      <x:c r="AA217" s="226" t="str">
        <x:f>IF(AND(L217="",M217="",N217="",Z217=""),"",IF(OR(M217&gt;=5,N217&lt;6,L217&gt;=8),"CZERWONY",IF(OR(M217&gt;=3,N217&lt;6.5,L217&gt;=7,Z217&lt;=4),"ŻÓŁTY","OK")))</x:f>
      </x:c>
      <x:c r="AB217" s="226" t="str">
        <x:f>IF(AA217="","",IF(AA217="OK","Realizuj plan normalnie.",IF(AA217="ŻÓŁTY","Skróć 10-30% albo zamień akcent na easy.", "STOP mocne bodźce: wolne/basen/Tacx Z1 48-72 h.")))</x:f>
      </x:c>
    </x:row>
    <x:row r="218">
      <x:c r="A218" s="77" t="n">
        <x:v>46492</x:v>
      </x:c>
      <x:c r="B218" s="78" t="str">
        <x:v>Czwartek</x:v>
      </x:c>
      <x:c r="C218" s="78" t="str">
        <x:v>Tydzień 31 (Build 2)</x:v>
      </x:c>
      <x:c r="D218" s="78" t="str">
        <x:v>Dłuższe rowery, bieganie po rowerze, kontrola paliwa</x:v>
      </x:c>
      <x:c r="E218" s="78" t="str">
        <x:v>Bieg easy + BASEN</x:v>
      </x:c>
      <x:c r="F218" s="78" t="str">
        <x:v>RANO: 6-10 km easy + mobility. WIECZÓR: 2200-2800 m: CSS progression 10x100 m lub 6x200 m + 400-600 m ciągiem. Praca nad rytmem 70.3.</x:v>
      </x:c>
      <x:c r="G218" s="78" t="str">
        <x:v>ŁATWY</x:v>
      </x:c>
      <x:c r="H218" s="78" t="str">
        <x:v>Progresja pływania/CSS</x:v>
      </x:c>
      <x:c r="I218" s="78" t="str">
        <x:v>Jajka lub jogurt/skyr + owoce; kawa spokojnie.</x:v>
      </x:c>
      <x:c r="J218" s="78" t="str">
        <x:v>Zupa/kasza/ryż + warzywa + białko; nawodnienie.</x:v>
      </x:c>
      <x:c r="K218" s="78" t="str">
        <x:v>Lekka kolacja: ryż/ziemniaki + ryba/tofu/jaja + warzywa.</x:v>
      </x:c>
      <x:c r="L218" s="78"/>
      <x:c r="M218" s="78"/>
      <x:c r="N218" s="78"/>
      <x:c r="O218" s="78"/>
      <x:c r="P218" s="78"/>
      <x:c r="Q218" s="78" t="str">
        <x:v>Jeśli technika się sypie: skróć odcinki, wydłuż przerwy, nie dokładaj metrów.</x:v>
      </x:c>
      <x:c r="V218" s="227"/>
      <x:c r="W218" s="228"/>
      <x:c r="X218" s="226"/>
      <x:c r="Y218" s="229"/>
      <x:c r="Z218" s="227"/>
      <x:c r="AA218" s="226" t="str">
        <x:f>IF(AND(L218="",M218="",N218="",Z218=""),"",IF(OR(M218&gt;=5,N218&lt;6,L218&gt;=8),"CZERWONY",IF(OR(M218&gt;=3,N218&lt;6.5,L218&gt;=7,Z218&lt;=4),"ŻÓŁTY","OK")))</x:f>
      </x:c>
      <x:c r="AB218" s="226" t="str">
        <x:f>IF(AA218="","",IF(AA218="OK","Realizuj plan normalnie.",IF(AA218="ŻÓŁTY","Skróć 10-30% albo zamień akcent na easy.", "STOP mocne bodźce: wolne/basen/Tacx Z1 48-72 h.")))</x:f>
      </x:c>
    </x:row>
    <x:row r="219">
      <x:c r="A219" s="71" t="n">
        <x:v>46493</x:v>
      </x:c>
      <x:c r="B219" s="72" t="str">
        <x:v>Piątek</x:v>
      </x:c>
      <x:c r="C219" s="72" t="str">
        <x:v>Tydzień 31 (Build 2)</x:v>
      </x:c>
      <x:c r="D219" s="72" t="str">
        <x:v>Dłuższe rowery, bieganie po rowerze, kontrola paliwa</x:v>
      </x:c>
      <x:c r="E219" s="72" t="str">
        <x:v>WOLNE</x:v>
      </x:c>
      <x:c r="F219" s="72" t="str">
        <x:v>Pełna regeneracja. Zero nadrabiania. Sprawdź sen, RPE i ból.</x:v>
      </x:c>
      <x:c r="G219" s="72" t="str">
        <x:v>WOLNE</x:v>
      </x:c>
      <x:c r="H219" s="72" t="str">
        <x:v>Adaptacja</x:v>
      </x:c>
      <x:c r="I219" s="72" t="str">
        <x:v>Normalne śniadanie, bez wymuszonego ładowania.</x:v>
      </x:c>
      <x:c r="J219" s="72" t="str">
        <x:v>Warzywa + białko + spokojna porcja węgli.</x:v>
      </x:c>
      <x:c r="K219" s="72" t="str">
        <x:v>Lekko, prosto, sen ważniejszy niż idealne makro.</x:v>
      </x:c>
      <x:c r="L219" s="72"/>
      <x:c r="M219" s="72"/>
      <x:c r="N219" s="72"/>
      <x:c r="O219" s="72"/>
      <x:c r="P219" s="72"/>
      <x:c r="Q219" s="72" t="str">
        <x:v>Nie nadrabiaj zaległości. Regeneracja jest częścią planu.</x:v>
      </x:c>
      <x:c r="V219" s="227"/>
      <x:c r="W219" s="228"/>
      <x:c r="X219" s="226"/>
      <x:c r="Y219" s="229"/>
      <x:c r="Z219" s="227"/>
      <x:c r="AA219" s="226" t="str">
        <x:f>IF(AND(L219="",M219="",N219="",Z219=""),"",IF(OR(M219&gt;=5,N219&lt;6,L219&gt;=8),"CZERWONY",IF(OR(M219&gt;=3,N219&lt;6.5,L219&gt;=7,Z219&lt;=4),"ŻÓŁTY","OK")))</x:f>
      </x:c>
      <x:c r="AB219" s="226" t="str">
        <x:f>IF(AA219="","",IF(AA219="OK","Realizuj plan normalnie.",IF(AA219="ŻÓŁTY","Skróć 10-30% albo zamień akcent na easy.", "STOP mocne bodźce: wolne/basen/Tacx Z1 48-72 h.")))</x:f>
      </x:c>
    </x:row>
    <x:row r="220">
      <x:c r="A220" s="113" t="n">
        <x:v>46494</x:v>
      </x:c>
      <x:c r="B220" s="107" t="str">
        <x:v>Sobota</x:v>
      </x:c>
      <x:c r="C220" s="107" t="str">
        <x:v>Tydzień 31 (Build 2)</x:v>
      </x:c>
      <x:c r="D220" s="107" t="str">
        <x:v>Dłuższe rowery, bieganie po rowerze, kontrola paliwa</x:v>
      </x:c>
      <x:c r="E220" s="107" t="str">
        <x:v>Rower regeneracyjny</x:v>
      </x:c>
      <x:c r="F220" s="107" t="str">
        <x:v>45-60 min Z1/Z2. Bez T2. To jest prawdziwy tydzień regeneracyjny.</x:v>
      </x:c>
      <x:c r="G220" s="107" t="str">
        <x:v>REGENERACJA</x:v>
      </x:c>
      <x:c r="H220" s="107" t="str">
        <x:v>Zrzut zmęczenia</x:v>
      </x:c>
      <x:c r="I220" s="107" t="str">
        <x:v>Normalne śniadanie, bez wymuszonego ładowania.</x:v>
      </x:c>
      <x:c r="J220" s="107" t="str">
        <x:v>Warzywa + białko + spokojna porcja węgli.</x:v>
      </x:c>
      <x:c r="K220" s="107" t="str">
        <x:v>Lekko, prosto, sen ważniejszy niż idealne makro.</x:v>
      </x:c>
      <x:c r="L220" s="107"/>
      <x:c r="M220" s="107"/>
      <x:c r="N220" s="107"/>
      <x:c r="O220" s="107"/>
      <x:c r="P220" s="107"/>
      <x:c r="Q220" s="107" t="str">
        <x:v>Nie nadrabiaj zaległości. Regeneracja jest częścią planu.</x:v>
      </x:c>
      <x:c r="V220" s="227"/>
      <x:c r="W220" s="228"/>
      <x:c r="X220" s="226"/>
      <x:c r="Y220" s="229"/>
      <x:c r="Z220" s="227"/>
      <x:c r="AA220" s="226" t="str">
        <x:f>IF(AND(L220="",M220="",N220="",Z220=""),"",IF(OR(M220&gt;=5,N220&lt;6,L220&gt;=8),"CZERWONY",IF(OR(M220&gt;=3,N220&lt;6.5,L220&gt;=7,Z220&lt;=4),"ŻÓŁTY","OK")))</x:f>
      </x:c>
      <x:c r="AB220" s="226" t="str">
        <x:f>IF(AA220="","",IF(AA220="OK","Realizuj plan normalnie.",IF(AA220="ŻÓŁTY","Skróć 10-30% albo zamień akcent na easy.", "STOP mocne bodźce: wolne/basen/Tacx Z1 48-72 h.")))</x:f>
      </x:c>
    </x:row>
    <x:row r="221">
      <x:c r="A221" s="113" t="n">
        <x:v>46495</x:v>
      </x:c>
      <x:c r="B221" s="107" t="str">
        <x:v>Niedziela</x:v>
      </x:c>
      <x:c r="C221" s="107" t="str">
        <x:v>Tydzień 31 (Build 2)</x:v>
      </x:c>
      <x:c r="D221" s="107" t="str">
        <x:v>Dłuższe rowery, bieganie po rowerze, kontrola paliwa</x:v>
      </x:c>
      <x:c r="E221" s="107" t="str">
        <x:v>Bieg easy krótki</x:v>
      </x:c>
      <x:c r="F221" s="107" t="str">
        <x:v>6-10 km easy 5:45-6:15/km. Tydzień lżejszy, bez ambicji.</x:v>
      </x:c>
      <x:c r="G221" s="107" t="str">
        <x:v>REGENERACJA</x:v>
      </x:c>
      <x:c r="H221" s="107" t="str">
        <x:v>Odświeżenie</x:v>
      </x:c>
      <x:c r="I221" s="107" t="str">
        <x:v>Normalne śniadanie, bez wymuszonego ładowania.</x:v>
      </x:c>
      <x:c r="J221" s="107" t="str">
        <x:v>Warzywa + białko + spokojna porcja węgli.</x:v>
      </x:c>
      <x:c r="K221" s="107" t="str">
        <x:v>Lekko, prosto, sen ważniejszy niż idealne makro.</x:v>
      </x:c>
      <x:c r="L221" s="107"/>
      <x:c r="M221" s="107"/>
      <x:c r="N221" s="107"/>
      <x:c r="O221" s="107"/>
      <x:c r="P221" s="107"/>
      <x:c r="Q221" s="107" t="str">
        <x:v>Nie nadrabiaj zaległości. Regeneracja jest częścią planu.</x:v>
      </x:c>
      <x:c r="V221" s="227"/>
      <x:c r="W221" s="228"/>
      <x:c r="X221" s="226"/>
      <x:c r="Y221" s="229"/>
      <x:c r="Z221" s="227"/>
      <x:c r="AA221" s="226" t="str">
        <x:f>IF(AND(L221="",M221="",N221="",Z221=""),"",IF(OR(M221&gt;=5,N221&lt;6,L221&gt;=8),"CZERWONY",IF(OR(M221&gt;=3,N221&lt;6.5,L221&gt;=7,Z221&lt;=4),"ŻÓŁTY","OK")))</x:f>
      </x:c>
      <x:c r="AB221" s="226" t="str">
        <x:f>IF(AA221="","",IF(AA221="OK","Realizuj plan normalnie.",IF(AA221="ŻÓŁTY","Skróć 10-30% albo zamień akcent na easy.", "STOP mocne bodźce: wolne/basen/Tacx Z1 48-72 h.")))</x:f>
      </x:c>
    </x:row>
    <x:row r="222">
      <x:c r="A222" s="77" t="n">
        <x:v>46496</x:v>
      </x:c>
      <x:c r="B222" s="78" t="str">
        <x:v>Poniedziałek</x:v>
      </x:c>
      <x:c r="C222" s="78" t="str">
        <x:v>Tydzień 32 (Build 2)</x:v>
      </x:c>
      <x:c r="D222" s="78" t="str">
        <x:v>Dłuższe rowery, bieganie po rowerze, kontrola paliwa</x:v>
      </x:c>
      <x:c r="E222" s="78" t="str">
        <x:v>BASEN technika</x:v>
      </x:c>
      <x:c r="F222" s="78" t="str">
        <x:v>2200-2800 m: CSS progression 10x100 m lub 6x200 m + 400-600 m ciągiem. Praca nad rytmem 70.3.</x:v>
      </x:c>
      <x:c r="G222" s="78" t="str">
        <x:v>ŁATWY</x:v>
      </x:c>
      <x:c r="H222" s="78" t="str">
        <x:v>Progresja pływania/CSS</x:v>
      </x:c>
      <x:c r="I222" s="78" t="str">
        <x:v>Jajka lub jogurt/skyr + owoce; kawa spokojnie.</x:v>
      </x:c>
      <x:c r="J222" s="78" t="str">
        <x:v>Zupa/kasza/ryż + warzywa + białko; nawodnienie.</x:v>
      </x:c>
      <x:c r="K222" s="78" t="str">
        <x:v>Lekka kolacja: ryż/ziemniaki + ryba/tofu/jaja + warzywa.</x:v>
      </x:c>
      <x:c r="L222" s="78"/>
      <x:c r="M222" s="78"/>
      <x:c r="N222" s="78"/>
      <x:c r="O222" s="78"/>
      <x:c r="P222" s="78"/>
      <x:c r="Q222" s="78" t="str">
        <x:v>Jeśli technika się sypie: skróć odcinki, wydłuż przerwy, nie dokładaj metrów.</x:v>
      </x:c>
      <x:c r="V222" s="227"/>
      <x:c r="W222" s="228"/>
      <x:c r="X222" s="226"/>
      <x:c r="Y222" s="229"/>
      <x:c r="Z222" s="227"/>
      <x:c r="AA222" s="226" t="str">
        <x:f>IF(AND(L222="",M222="",N222="",Z222=""),"",IF(OR(M222&gt;=5,N222&lt;6,L222&gt;=8),"CZERWONY",IF(OR(M222&gt;=3,N222&lt;6.5,L222&gt;=7,Z222&lt;=4),"ŻÓŁTY","OK")))</x:f>
      </x:c>
      <x:c r="AB222" s="226" t="str">
        <x:f>IF(AA222="","",IF(AA222="OK","Realizuj plan normalnie.",IF(AA222="ŻÓŁTY","Skróć 10-30% albo zamień akcent na easy.", "STOP mocne bodźce: wolne/basen/Tacx Z1 48-72 h.")))</x:f>
      </x:c>
    </x:row>
    <x:row r="223">
      <x:c r="A223" s="53" t="n">
        <x:v>46497</x:v>
      </x:c>
      <x:c r="B223" s="54" t="str">
        <x:v>Wtorek</x:v>
      </x:c>
      <x:c r="C223" s="54" t="str">
        <x:v>Tydzień 32 (Build 2)</x:v>
      </x:c>
      <x:c r="D223" s="54" t="str">
        <x:v>Dłuższe rowery, bieganie po rowerze, kontrola paliwa</x:v>
      </x:c>
      <x:c r="E223" s="54" t="str">
        <x:v>Bieg jakościowy</x:v>
      </x:c>
      <x:c r="F223" s="54" t="str">
        <x:v>10-14 km: 3x2 km w tempie 70.3 4:55-5:05/km / 1 km easy.</x:v>
      </x:c>
      <x:c r="G223" s="54" t="str">
        <x:v>MP/RACE PACE</x:v>
      </x:c>
      <x:c r="H223" s="54" t="str">
        <x:v>Tempo po zmęczeniu</x:v>
      </x:c>
      <x:c r="I223" s="54" t="str">
        <x:v>2-3 h przed: kleik/ryż/wafle + miód/dżem; mało tłuszczu i błonnika.</x:v>
      </x:c>
      <x:c r="J223" s="54" t="str">
        <x:v>Ryż/ziemniaki/kasza + lekkie białko + warzywa.</x:v>
      </x:c>
      <x:c r="K223" s="54" t="str">
        <x:v>Po: 20-35 g białka + węgle; elektrolity.</x:v>
      </x:c>
      <x:c r="L223" s="54"/>
      <x:c r="M223" s="54"/>
      <x:c r="N223" s="54"/>
      <x:c r="O223" s="54"/>
      <x:c r="P223" s="54"/>
      <x:c r="Q223" s="54" t="str">
        <x:v>Jeśli ból ≥3/10 lub sen &lt;6 h: zamień na easy 30-45 min albo basen.</x:v>
      </x:c>
      <x:c r="V223" s="227"/>
      <x:c r="W223" s="228"/>
      <x:c r="X223" s="226"/>
      <x:c r="Y223" s="229"/>
      <x:c r="Z223" s="227"/>
      <x:c r="AA223" s="226" t="str">
        <x:f>IF(AND(L223="",M223="",N223="",Z223=""),"",IF(OR(M223&gt;=5,N223&lt;6,L223&gt;=8),"CZERWONY",IF(OR(M223&gt;=3,N223&lt;6.5,L223&gt;=7,Z223&lt;=4),"ŻÓŁTY","OK")))</x:f>
      </x:c>
      <x:c r="AB223" s="226" t="str">
        <x:f>IF(AA223="","",IF(AA223="OK","Realizuj plan normalnie.",IF(AA223="ŻÓŁTY","Skróć 10-30% albo zamień akcent na easy.", "STOP mocne bodźce: wolne/basen/Tacx Z1 48-72 h.")))</x:f>
      </x:c>
    </x:row>
    <x:row r="224">
      <x:c r="A224" s="53" t="n">
        <x:v>46498</x:v>
      </x:c>
      <x:c r="B224" s="54" t="str">
        <x:v>Środa</x:v>
      </x:c>
      <x:c r="C224" s="54" t="str">
        <x:v>Tydzień 32 (Build 2)</x:v>
      </x:c>
      <x:c r="D224" s="54" t="str">
        <x:v>Dłuższe rowery, bieganie po rowerze, kontrola paliwa</x:v>
      </x:c>
      <x:c r="E224" s="54" t="str">
        <x:v>Tacx sweet spot / race pace</x:v>
      </x:c>
      <x:c r="F224" s="54" t="str">
        <x:v>80-100 min: 3x12-15 min 88-94% FTP lub 210-230 W; przerwy 5 min easy.</x:v>
      </x:c>
      <x:c r="G224" s="54" t="str">
        <x:v>MOCNY</x:v>
      </x:c>
      <x:c r="H224" s="54" t="str">
        <x:v>Moc pod 70.3</x:v>
      </x:c>
      <x:c r="I224" s="54" t="str">
        <x:v>2-3 h przed: kleik/ryż/wafle + miód/dżem; mało tłuszczu i błonnika.</x:v>
      </x:c>
      <x:c r="J224" s="54" t="str">
        <x:v>Ryż/ziemniaki/kasza + lekkie białko + warzywa.</x:v>
      </x:c>
      <x:c r="K224" s="54" t="str">
        <x:v>Po: 20-35 g białka + węgle; elektrolity.</x:v>
      </x:c>
      <x:c r="L224" s="54"/>
      <x:c r="M224" s="54"/>
      <x:c r="N224" s="54"/>
      <x:c r="O224" s="54"/>
      <x:c r="P224" s="54"/>
      <x:c r="Q224" s="54" t="str">
        <x:v>Jeśli ból ≥3/10 lub sen &lt;6 h: zamień na easy 30-45 min albo basen.</x:v>
      </x:c>
      <x:c r="V224" s="227"/>
      <x:c r="W224" s="228"/>
      <x:c r="X224" s="226"/>
      <x:c r="Y224" s="229"/>
      <x:c r="Z224" s="227"/>
      <x:c r="AA224" s="226" t="str">
        <x:f>IF(AND(L224="",M224="",N224="",Z224=""),"",IF(OR(M224&gt;=5,N224&lt;6,L224&gt;=8),"CZERWONY",IF(OR(M224&gt;=3,N224&lt;6.5,L224&gt;=7,Z224&lt;=4),"ŻÓŁTY","OK")))</x:f>
      </x:c>
      <x:c r="AB224" s="226" t="str">
        <x:f>IF(AA224="","",IF(AA224="OK","Realizuj plan normalnie.",IF(AA224="ŻÓŁTY","Skróć 10-30% albo zamień akcent na easy.", "STOP mocne bodźce: wolne/basen/Tacx Z1 48-72 h.")))</x:f>
      </x:c>
    </x:row>
    <x:row r="225">
      <x:c r="A225" s="77" t="n">
        <x:v>46499</x:v>
      </x:c>
      <x:c r="B225" s="78" t="str">
        <x:v>Czwartek</x:v>
      </x:c>
      <x:c r="C225" s="78" t="str">
        <x:v>Tydzień 32 (Build 2)</x:v>
      </x:c>
      <x:c r="D225" s="78" t="str">
        <x:v>Dłuższe rowery, bieganie po rowerze, kontrola paliwa</x:v>
      </x:c>
      <x:c r="E225" s="78" t="str">
        <x:v>Bieg easy + BASEN</x:v>
      </x:c>
      <x:c r="F225" s="78" t="str">
        <x:v>RANO: 6-10 km easy + mobility. WIECZÓR: 2200-2800 m: CSS progression 10x100 m lub 6x200 m + 400-600 m ciągiem. Praca nad rytmem 70.3.</x:v>
      </x:c>
      <x:c r="G225" s="78" t="str">
        <x:v>ŁATWY</x:v>
      </x:c>
      <x:c r="H225" s="78" t="str">
        <x:v>Progresja pływania/CSS</x:v>
      </x:c>
      <x:c r="I225" s="78" t="str">
        <x:v>Jajka lub jogurt/skyr + owoce; kawa spokojnie.</x:v>
      </x:c>
      <x:c r="J225" s="78" t="str">
        <x:v>Zupa/kasza/ryż + warzywa + białko; nawodnienie.</x:v>
      </x:c>
      <x:c r="K225" s="78" t="str">
        <x:v>Lekka kolacja: ryż/ziemniaki + ryba/tofu/jaja + warzywa.</x:v>
      </x:c>
      <x:c r="L225" s="78"/>
      <x:c r="M225" s="78"/>
      <x:c r="N225" s="78"/>
      <x:c r="O225" s="78"/>
      <x:c r="P225" s="78"/>
      <x:c r="Q225" s="78" t="str">
        <x:v>Jeśli technika się sypie: skróć odcinki, wydłuż przerwy, nie dokładaj metrów.</x:v>
      </x:c>
      <x:c r="V225" s="227"/>
      <x:c r="W225" s="228"/>
      <x:c r="X225" s="226"/>
      <x:c r="Y225" s="229"/>
      <x:c r="Z225" s="227"/>
      <x:c r="AA225" s="226" t="str">
        <x:f>IF(AND(L225="",M225="",N225="",Z225=""),"",IF(OR(M225&gt;=5,N225&lt;6,L225&gt;=8),"CZERWONY",IF(OR(M225&gt;=3,N225&lt;6.5,L225&gt;=7,Z225&lt;=4),"ŻÓŁTY","OK")))</x:f>
      </x:c>
      <x:c r="AB225" s="226" t="str">
        <x:f>IF(AA225="","",IF(AA225="OK","Realizuj plan normalnie.",IF(AA225="ŻÓŁTY","Skróć 10-30% albo zamień akcent na easy.", "STOP mocne bodźce: wolne/basen/Tacx Z1 48-72 h.")))</x:f>
      </x:c>
    </x:row>
    <x:row r="226">
      <x:c r="A226" s="71" t="n">
        <x:v>46500</x:v>
      </x:c>
      <x:c r="B226" s="72" t="str">
        <x:v>Piątek</x:v>
      </x:c>
      <x:c r="C226" s="72" t="str">
        <x:v>Tydzień 32 (Build 2)</x:v>
      </x:c>
      <x:c r="D226" s="72" t="str">
        <x:v>Dłuższe rowery, bieganie po rowerze, kontrola paliwa</x:v>
      </x:c>
      <x:c r="E226" s="72" t="str">
        <x:v>WOLNE</x:v>
      </x:c>
      <x:c r="F226" s="72" t="str">
        <x:v>Pełna regeneracja. Zero nadrabiania. Sprawdź sen, RPE i ból.</x:v>
      </x:c>
      <x:c r="G226" s="72" t="str">
        <x:v>WOLNE</x:v>
      </x:c>
      <x:c r="H226" s="72" t="str">
        <x:v>Adaptacja</x:v>
      </x:c>
      <x:c r="I226" s="72" t="str">
        <x:v>Normalne śniadanie, bez wymuszonego ładowania.</x:v>
      </x:c>
      <x:c r="J226" s="72" t="str">
        <x:v>Warzywa + białko + spokojna porcja węgli.</x:v>
      </x:c>
      <x:c r="K226" s="72" t="str">
        <x:v>Lekko, prosto, sen ważniejszy niż idealne makro.</x:v>
      </x:c>
      <x:c r="L226" s="72"/>
      <x:c r="M226" s="72"/>
      <x:c r="N226" s="72"/>
      <x:c r="O226" s="72"/>
      <x:c r="P226" s="72"/>
      <x:c r="Q226" s="72" t="str">
        <x:v>Nie nadrabiaj zaległości. Regeneracja jest częścią planu.</x:v>
      </x:c>
      <x:c r="V226" s="227"/>
      <x:c r="W226" s="228"/>
      <x:c r="X226" s="226"/>
      <x:c r="Y226" s="229"/>
      <x:c r="Z226" s="227"/>
      <x:c r="AA226" s="226" t="str">
        <x:f>IF(AND(L226="",M226="",N226="",Z226=""),"",IF(OR(M226&gt;=5,N226&lt;6,L226&gt;=8),"CZERWONY",IF(OR(M226&gt;=3,N226&lt;6.5,L226&gt;=7,Z226&lt;=4),"ŻÓŁTY","OK")))</x:f>
      </x:c>
      <x:c r="AB226" s="226" t="str">
        <x:f>IF(AA226="","",IF(AA226="OK","Realizuj plan normalnie.",IF(AA226="ŻÓŁTY","Skróć 10-30% albo zamień akcent na easy.", "STOP mocne bodźce: wolne/basen/Tacx Z1 48-72 h.")))</x:f>
      </x:c>
    </x:row>
    <x:row r="227">
      <x:c r="A227" s="113" t="n">
        <x:v>46501</x:v>
      </x:c>
      <x:c r="B227" s="107" t="str">
        <x:v>Sobota</x:v>
      </x:c>
      <x:c r="C227" s="107" t="str">
        <x:v>Tydzień 32 (Build 2)</x:v>
      </x:c>
      <x:c r="D227" s="107" t="str">
        <x:v>Dłuższe rowery, bieganie po rowerze, kontrola paliwa</x:v>
      </x:c>
      <x:c r="E227" s="107" t="str">
        <x:v>Rower długi + Zakładka T2</x:v>
      </x:c>
      <x:c r="F227" s="107" t="str">
        <x:v>200 min Z2 z kontrolą kadencji + 8 km T2 easy. Paliwo 60-80 g węgli/h.</x:v>
      </x:c>
      <x:c r="G227" s="107" t="str">
        <x:v>LONG</x:v>
      </x:c>
      <x:c r="H227" s="107" t="str">
        <x:v>Rower + adaptacja T2</x:v>
      </x:c>
      <x:c r="I227" s="107" t="str">
        <x:v>3 h przed: sprawdzony posiłek węglowodanowy; bez nowych produktów.</x:v>
      </x:c>
      <x:c r="J227" s="107" t="str">
        <x:v>Po treningu: ryż/ziemniaki + białko + sól/elektrolity.</x:v>
      </x:c>
      <x:c r="K227" s="107" t="str">
        <x:v>Kolacja regeneracyjna: węgle + białko + warzywa; uzupełnij płyny.</x:v>
      </x:c>
      <x:c r="L227" s="107"/>
      <x:c r="M227" s="107"/>
      <x:c r="N227" s="107"/>
      <x:c r="O227" s="107"/>
      <x:c r="P227" s="107"/>
      <x:c r="Q227" s="107" t="str">
        <x:v>Jeśli ból narasta lub RPE &gt;7 przed połową: skróć, nie nadrabiaj kilometrów.</x:v>
      </x:c>
      <x:c r="V227" s="227"/>
      <x:c r="W227" s="228"/>
      <x:c r="X227" s="226"/>
      <x:c r="Y227" s="229"/>
      <x:c r="Z227" s="227"/>
      <x:c r="AA227" s="226" t="str">
        <x:f>IF(AND(L227="",M227="",N227="",Z227=""),"",IF(OR(M227&gt;=5,N227&lt;6,L227&gt;=8),"CZERWONY",IF(OR(M227&gt;=3,N227&lt;6.5,L227&gt;=7,Z227&lt;=4),"ŻÓŁTY","OK")))</x:f>
      </x:c>
      <x:c r="AB227" s="226" t="str">
        <x:f>IF(AA227="","",IF(AA227="OK","Realizuj plan normalnie.",IF(AA227="ŻÓŁTY","Skróć 10-30% albo zamień akcent na easy.", "STOP mocne bodźce: wolne/basen/Tacx Z1 48-72 h.")))</x:f>
      </x:c>
    </x:row>
    <x:row r="228">
      <x:c r="A228" s="113" t="n">
        <x:v>46502</x:v>
      </x:c>
      <x:c r="B228" s="107" t="str">
        <x:v>Niedziela</x:v>
      </x:c>
      <x:c r="C228" s="107" t="str">
        <x:v>Tydzień 32 (Build 2)</x:v>
      </x:c>
      <x:c r="D228" s="107" t="str">
        <x:v>Dłuższe rowery, bieganie po rowerze, kontrola paliwa</x:v>
      </x:c>
      <x:c r="E228" s="107" t="str">
        <x:v>Bieg długi 70.3</x:v>
      </x:c>
      <x:c r="F228" s="107" t="str">
        <x:v>20-22 km: 10 km easy + 2x4 km w tempie 70.3 / 1 km easy + schłodzenie.</x:v>
      </x:c>
      <x:c r="G228" s="107" t="str">
        <x:v>LONG</x:v>
      </x:c>
      <x:c r="H228" s="107" t="str">
        <x:v>Kontrola tempa</x:v>
      </x:c>
      <x:c r="I228" s="107" t="str">
        <x:v>3 h przed: sprawdzony posiłek węglowodanowy; bez nowych produktów.</x:v>
      </x:c>
      <x:c r="J228" s="107" t="str">
        <x:v>Po treningu: ryż/ziemniaki + białko + sól/elektrolity.</x:v>
      </x:c>
      <x:c r="K228" s="107" t="str">
        <x:v>Kolacja regeneracyjna: węgle + białko + warzywa; uzupełnij płyny.</x:v>
      </x:c>
      <x:c r="L228" s="107"/>
      <x:c r="M228" s="107"/>
      <x:c r="N228" s="107"/>
      <x:c r="O228" s="107"/>
      <x:c r="P228" s="107"/>
      <x:c r="Q228" s="107" t="str">
        <x:v>Jeśli sobotni rower wszedł ciężko: skróć bieg o 30-50% albo zamień na 40 min easy/spacer.</x:v>
      </x:c>
      <x:c r="V228" s="227"/>
      <x:c r="W228" s="228"/>
      <x:c r="X228" s="226"/>
      <x:c r="Y228" s="229"/>
      <x:c r="Z228" s="227"/>
      <x:c r="AA228" s="226" t="str">
        <x:f>IF(AND(L228="",M228="",N228="",Z228=""),"",IF(OR(M228&gt;=5,N228&lt;6,L228&gt;=8),"CZERWONY",IF(OR(M228&gt;=3,N228&lt;6.5,L228&gt;=7,Z228&lt;=4),"ŻÓŁTY","OK")))</x:f>
      </x:c>
      <x:c r="AB228" s="226" t="str">
        <x:f>IF(AA228="","",IF(AA228="OK","Realizuj plan normalnie.",IF(AA228="ŻÓŁTY","Skróć 10-30% albo zamień akcent na easy.", "STOP mocne bodźce: wolne/basen/Tacx Z1 48-72 h.")))</x:f>
      </x:c>
    </x:row>
    <x:row r="229">
      <x:c r="A229" s="77" t="n">
        <x:v>46503</x:v>
      </x:c>
      <x:c r="B229" s="78" t="str">
        <x:v>Poniedziałek</x:v>
      </x:c>
      <x:c r="C229" s="78" t="str">
        <x:v>Tydzień 33 (Build 2)</x:v>
      </x:c>
      <x:c r="D229" s="78" t="str">
        <x:v>Dłuższe rowery, bieganie po rowerze, kontrola paliwa</x:v>
      </x:c>
      <x:c r="E229" s="78" t="str">
        <x:v>BASEN technika</x:v>
      </x:c>
      <x:c r="F229" s="78" t="str">
        <x:v>2200-2800 m: CSS progression 10x100 m lub 6x200 m + 400-600 m ciągiem. Praca nad rytmem 70.3.</x:v>
      </x:c>
      <x:c r="G229" s="78" t="str">
        <x:v>ŁATWY</x:v>
      </x:c>
      <x:c r="H229" s="78" t="str">
        <x:v>Progresja pływania/CSS</x:v>
      </x:c>
      <x:c r="I229" s="78" t="str">
        <x:v>Jajka lub jogurt/skyr + owoce; kawa spokojnie.</x:v>
      </x:c>
      <x:c r="J229" s="78" t="str">
        <x:v>Zupa/kasza/ryż + warzywa + białko; nawodnienie.</x:v>
      </x:c>
      <x:c r="K229" s="78" t="str">
        <x:v>Lekka kolacja: ryż/ziemniaki + ryba/tofu/jaja + warzywa.</x:v>
      </x:c>
      <x:c r="L229" s="78"/>
      <x:c r="M229" s="78"/>
      <x:c r="N229" s="78"/>
      <x:c r="O229" s="78"/>
      <x:c r="P229" s="78"/>
      <x:c r="Q229" s="78" t="str">
        <x:v>Jeśli technika się sypie: skróć odcinki, wydłuż przerwy, nie dokładaj metrów.</x:v>
      </x:c>
      <x:c r="V229" s="227"/>
      <x:c r="W229" s="228"/>
      <x:c r="X229" s="226"/>
      <x:c r="Y229" s="229"/>
      <x:c r="Z229" s="227"/>
      <x:c r="AA229" s="226" t="str">
        <x:f>IF(AND(L229="",M229="",N229="",Z229=""),"",IF(OR(M229&gt;=5,N229&lt;6,L229&gt;=8),"CZERWONY",IF(OR(M229&gt;=3,N229&lt;6.5,L229&gt;=7,Z229&lt;=4),"ŻÓŁTY","OK")))</x:f>
      </x:c>
      <x:c r="AB229" s="226" t="str">
        <x:f>IF(AA229="","",IF(AA229="OK","Realizuj plan normalnie.",IF(AA229="ŻÓŁTY","Skróć 10-30% albo zamień akcent na easy.", "STOP mocne bodźce: wolne/basen/Tacx Z1 48-72 h.")))</x:f>
      </x:c>
    </x:row>
    <x:row r="230">
      <x:c r="A230" s="53" t="n">
        <x:v>46504</x:v>
      </x:c>
      <x:c r="B230" s="54" t="str">
        <x:v>Wtorek</x:v>
      </x:c>
      <x:c r="C230" s="54" t="str">
        <x:v>Tydzień 33 (Build 2)</x:v>
      </x:c>
      <x:c r="D230" s="54" t="str">
        <x:v>Dłuższe rowery, bieganie po rowerze, kontrola paliwa</x:v>
      </x:c>
      <x:c r="E230" s="54" t="str">
        <x:v>Bieg jakościowy</x:v>
      </x:c>
      <x:c r="F230" s="54" t="str">
        <x:v>10-14 km: 3x2 km w tempie 70.3 4:55-5:05/km / 1 km easy.</x:v>
      </x:c>
      <x:c r="G230" s="54" t="str">
        <x:v>MP/RACE PACE</x:v>
      </x:c>
      <x:c r="H230" s="54" t="str">
        <x:v>Tempo po zmęczeniu</x:v>
      </x:c>
      <x:c r="I230" s="54" t="str">
        <x:v>2-3 h przed: kleik/ryż/wafle + miód/dżem; mało tłuszczu i błonnika.</x:v>
      </x:c>
      <x:c r="J230" s="54" t="str">
        <x:v>Ryż/ziemniaki/kasza + lekkie białko + warzywa.</x:v>
      </x:c>
      <x:c r="K230" s="54" t="str">
        <x:v>Po: 20-35 g białka + węgle; elektrolity.</x:v>
      </x:c>
      <x:c r="L230" s="54"/>
      <x:c r="M230" s="54"/>
      <x:c r="N230" s="54"/>
      <x:c r="O230" s="54"/>
      <x:c r="P230" s="54"/>
      <x:c r="Q230" s="54" t="str">
        <x:v>Jeśli ból ≥3/10 lub sen &lt;6 h: zamień na easy 30-45 min albo basen.</x:v>
      </x:c>
      <x:c r="V230" s="227"/>
      <x:c r="W230" s="228"/>
      <x:c r="X230" s="226"/>
      <x:c r="Y230" s="229"/>
      <x:c r="Z230" s="227"/>
      <x:c r="AA230" s="226" t="str">
        <x:f>IF(AND(L230="",M230="",N230="",Z230=""),"",IF(OR(M230&gt;=5,N230&lt;6,L230&gt;=8),"CZERWONY",IF(OR(M230&gt;=3,N230&lt;6.5,L230&gt;=7,Z230&lt;=4),"ŻÓŁTY","OK")))</x:f>
      </x:c>
      <x:c r="AB230" s="226" t="str">
        <x:f>IF(AA230="","",IF(AA230="OK","Realizuj plan normalnie.",IF(AA230="ŻÓŁTY","Skróć 10-30% albo zamień akcent na easy.", "STOP mocne bodźce: wolne/basen/Tacx Z1 48-72 h.")))</x:f>
      </x:c>
    </x:row>
    <x:row r="231">
      <x:c r="A231" s="53" t="n">
        <x:v>46505</x:v>
      </x:c>
      <x:c r="B231" s="54" t="str">
        <x:v>Środa</x:v>
      </x:c>
      <x:c r="C231" s="54" t="str">
        <x:v>Tydzień 33 (Build 2)</x:v>
      </x:c>
      <x:c r="D231" s="54" t="str">
        <x:v>Dłuższe rowery, bieganie po rowerze, kontrola paliwa</x:v>
      </x:c>
      <x:c r="E231" s="54" t="str">
        <x:v>Tacx sweet spot / race pace</x:v>
      </x:c>
      <x:c r="F231" s="54" t="str">
        <x:v>80-100 min: 3x12-15 min 88-94% FTP lub 210-230 W; przerwy 5 min easy.</x:v>
      </x:c>
      <x:c r="G231" s="54" t="str">
        <x:v>MOCNY</x:v>
      </x:c>
      <x:c r="H231" s="54" t="str">
        <x:v>Moc pod 70.3</x:v>
      </x:c>
      <x:c r="I231" s="54" t="str">
        <x:v>2-3 h przed: kleik/ryż/wafle + miód/dżem; mało tłuszczu i błonnika.</x:v>
      </x:c>
      <x:c r="J231" s="54" t="str">
        <x:v>Ryż/ziemniaki/kasza + lekkie białko + warzywa.</x:v>
      </x:c>
      <x:c r="K231" s="54" t="str">
        <x:v>Po: 20-35 g białka + węgle; elektrolity.</x:v>
      </x:c>
      <x:c r="L231" s="54"/>
      <x:c r="M231" s="54"/>
      <x:c r="N231" s="54"/>
      <x:c r="O231" s="54"/>
      <x:c r="P231" s="54"/>
      <x:c r="Q231" s="54" t="str">
        <x:v>Jeśli ból ≥3/10 lub sen &lt;6 h: zamień na easy 30-45 min albo basen.</x:v>
      </x:c>
      <x:c r="V231" s="227"/>
      <x:c r="W231" s="228"/>
      <x:c r="X231" s="226"/>
      <x:c r="Y231" s="229"/>
      <x:c r="Z231" s="227"/>
      <x:c r="AA231" s="226" t="str">
        <x:f>IF(AND(L231="",M231="",N231="",Z231=""),"",IF(OR(M231&gt;=5,N231&lt;6,L231&gt;=8),"CZERWONY",IF(OR(M231&gt;=3,N231&lt;6.5,L231&gt;=7,Z231&lt;=4),"ŻÓŁTY","OK")))</x:f>
      </x:c>
      <x:c r="AB231" s="226" t="str">
        <x:f>IF(AA231="","",IF(AA231="OK","Realizuj plan normalnie.",IF(AA231="ŻÓŁTY","Skróć 10-30% albo zamień akcent na easy.", "STOP mocne bodźce: wolne/basen/Tacx Z1 48-72 h.")))</x:f>
      </x:c>
    </x:row>
    <x:row r="232">
      <x:c r="A232" s="77" t="n">
        <x:v>46506</x:v>
      </x:c>
      <x:c r="B232" s="78" t="str">
        <x:v>Czwartek</x:v>
      </x:c>
      <x:c r="C232" s="78" t="str">
        <x:v>Tydzień 33 (Build 2)</x:v>
      </x:c>
      <x:c r="D232" s="78" t="str">
        <x:v>Dłuższe rowery, bieganie po rowerze, kontrola paliwa</x:v>
      </x:c>
      <x:c r="E232" s="78" t="str">
        <x:v>Bieg easy + BASEN</x:v>
      </x:c>
      <x:c r="F232" s="78" t="str">
        <x:v>RANO: 6-10 km easy + mobility. WIECZÓR: 2200-2800 m: CSS progression 10x100 m lub 6x200 m + 400-600 m ciągiem. Praca nad rytmem 70.3.</x:v>
      </x:c>
      <x:c r="G232" s="78" t="str">
        <x:v>ŁATWY</x:v>
      </x:c>
      <x:c r="H232" s="78" t="str">
        <x:v>Progresja pływania/CSS</x:v>
      </x:c>
      <x:c r="I232" s="78" t="str">
        <x:v>Jajka lub jogurt/skyr + owoce; kawa spokojnie.</x:v>
      </x:c>
      <x:c r="J232" s="78" t="str">
        <x:v>Zupa/kasza/ryż + warzywa + białko; nawodnienie.</x:v>
      </x:c>
      <x:c r="K232" s="78" t="str">
        <x:v>Lekka kolacja: ryż/ziemniaki + ryba/tofu/jaja + warzywa.</x:v>
      </x:c>
      <x:c r="L232" s="78"/>
      <x:c r="M232" s="78"/>
      <x:c r="N232" s="78"/>
      <x:c r="O232" s="78"/>
      <x:c r="P232" s="78"/>
      <x:c r="Q232" s="78" t="str">
        <x:v>Jeśli technika się sypie: skróć odcinki, wydłuż przerwy, nie dokładaj metrów.</x:v>
      </x:c>
      <x:c r="V232" s="227"/>
      <x:c r="W232" s="228"/>
      <x:c r="X232" s="226"/>
      <x:c r="Y232" s="229"/>
      <x:c r="Z232" s="227"/>
      <x:c r="AA232" s="226" t="str">
        <x:f>IF(AND(L232="",M232="",N232="",Z232=""),"",IF(OR(M232&gt;=5,N232&lt;6,L232&gt;=8),"CZERWONY",IF(OR(M232&gt;=3,N232&lt;6.5,L232&gt;=7,Z232&lt;=4),"ŻÓŁTY","OK")))</x:f>
      </x:c>
      <x:c r="AB232" s="226" t="str">
        <x:f>IF(AA232="","",IF(AA232="OK","Realizuj plan normalnie.",IF(AA232="ŻÓŁTY","Skróć 10-30% albo zamień akcent na easy.", "STOP mocne bodźce: wolne/basen/Tacx Z1 48-72 h.")))</x:f>
      </x:c>
    </x:row>
    <x:row r="233">
      <x:c r="A233" s="71" t="n">
        <x:v>46507</x:v>
      </x:c>
      <x:c r="B233" s="72" t="str">
        <x:v>Piątek</x:v>
      </x:c>
      <x:c r="C233" s="72" t="str">
        <x:v>Tydzień 33 (Build 2)</x:v>
      </x:c>
      <x:c r="D233" s="72" t="str">
        <x:v>Dłuższe rowery, bieganie po rowerze, kontrola paliwa</x:v>
      </x:c>
      <x:c r="E233" s="72" t="str">
        <x:v>WOLNE</x:v>
      </x:c>
      <x:c r="F233" s="72" t="str">
        <x:v>Pełna regeneracja. Zero nadrabiania. Sprawdź sen, RPE i ból.</x:v>
      </x:c>
      <x:c r="G233" s="72" t="str">
        <x:v>WOLNE</x:v>
      </x:c>
      <x:c r="H233" s="72" t="str">
        <x:v>Adaptacja</x:v>
      </x:c>
      <x:c r="I233" s="72" t="str">
        <x:v>Normalne śniadanie, bez wymuszonego ładowania.</x:v>
      </x:c>
      <x:c r="J233" s="72" t="str">
        <x:v>Warzywa + białko + spokojna porcja węgli.</x:v>
      </x:c>
      <x:c r="K233" s="72" t="str">
        <x:v>Lekko, prosto, sen ważniejszy niż idealne makro.</x:v>
      </x:c>
      <x:c r="L233" s="72"/>
      <x:c r="M233" s="72"/>
      <x:c r="N233" s="72"/>
      <x:c r="O233" s="72"/>
      <x:c r="P233" s="72"/>
      <x:c r="Q233" s="72" t="str">
        <x:v>Nie nadrabiaj zaległości. Regeneracja jest częścią planu.</x:v>
      </x:c>
      <x:c r="V233" s="227"/>
      <x:c r="W233" s="228"/>
      <x:c r="X233" s="226"/>
      <x:c r="Y233" s="229"/>
      <x:c r="Z233" s="227"/>
      <x:c r="AA233" s="226" t="str">
        <x:f>IF(AND(L233="",M233="",N233="",Z233=""),"",IF(OR(M233&gt;=5,N233&lt;6,L233&gt;=8),"CZERWONY",IF(OR(M233&gt;=3,N233&lt;6.5,L233&gt;=7,Z233&lt;=4),"ŻÓŁTY","OK")))</x:f>
      </x:c>
      <x:c r="AB233" s="226" t="str">
        <x:f>IF(AA233="","",IF(AA233="OK","Realizuj plan normalnie.",IF(AA233="ŻÓŁTY","Skróć 10-30% albo zamień akcent na easy.", "STOP mocne bodźce: wolne/basen/Tacx Z1 48-72 h.")))</x:f>
      </x:c>
    </x:row>
    <x:row r="234" ht="26" customHeight="1">
      <x:c r="A234" s="148" t="n">
        <x:v>46508</x:v>
      </x:c>
      <x:c r="B234" s="149" t="str">
        <x:v>Sobota</x:v>
      </x:c>
      <x:c r="C234" s="149" t="str">
        <x:v>Tydzień 33 (Build 2)</x:v>
      </x:c>
      <x:c r="D234" s="162" t="str">
        <x:v>Dłuższe rowery, bieganie po rowerze, kontrola paliwa</x:v>
      </x:c>
      <x:c r="E234" s="162" t="str">
        <x:v>Rower długi + T2 kontrolowana</x:v>
      </x:c>
      <x:c r="F234" s="162" t="str">
        <x:v>220 min: Z2 + 3x15 min race pace/aero, paliwo jak na start + 9 km T2. Twardy cap roweru: max 210-220 min; jakość &gt; objętość. Paliwo 70-90 g węgli/h.</x:v>
      </x:c>
      <x:c r="G234" s="162" t="str">
        <x:v>LONG</x:v>
      </x:c>
      <x:c r="H234" s="162" t="str">
        <x:v>Rower + adaptacja T2</x:v>
      </x:c>
      <x:c r="I234" s="162" t="str">
        <x:v>3 h przed: sprawdzony posiłek węglowodanowy; bez nowych produktów.</x:v>
      </x:c>
      <x:c r="J234" s="162" t="str">
        <x:v>Po treningu: ryż/ziemniaki + białko + sól/elektrolity.</x:v>
      </x:c>
      <x:c r="K234" s="162" t="str">
        <x:v>Kolacja regeneracyjna: węgle + białko + warzywa; uzupełnij płyny.</x:v>
      </x:c>
      <x:c r="L234" s="162"/>
      <x:c r="M234" s="162"/>
      <x:c r="N234" s="162"/>
      <x:c r="O234" s="162"/>
      <x:c r="P234" s="162"/>
      <x:c r="Q234" s="162" t="str">
        <x:v>Jeśli RPE &gt;7, ból narasta lub paliwo nie wchodzi: skróć T2, nie wydłużaj roweru.</x:v>
      </x:c>
      <x:c r="R234" s="136" t="str">
        <x:v>MAJ 2027</x:v>
      </x:c>
      <x:c r="V234" s="227"/>
      <x:c r="W234" s="228"/>
      <x:c r="X234" s="226"/>
      <x:c r="Y234" s="229"/>
      <x:c r="Z234" s="227"/>
      <x:c r="AA234" s="226" t="str">
        <x:f>IF(AND(L234="",M234="",N234="",Z234=""),"",IF(OR(M234&gt;=5,N234&lt;6,L234&gt;=8),"CZERWONY",IF(OR(M234&gt;=3,N234&lt;6.5,L234&gt;=7,Z234&lt;=4),"ŻÓŁTY","OK")))</x:f>
      </x:c>
      <x:c r="AB234" s="226" t="str">
        <x:f>IF(AA234="","",IF(AA234="OK","Realizuj plan normalnie.",IF(AA234="ŻÓŁTY","Skróć 10-30% albo zamień akcent na easy.", "STOP mocne bodźce: wolne/basen/Tacx Z1 48-72 h.")))</x:f>
      </x:c>
    </x:row>
    <x:row r="235">
      <x:c r="A235" s="113" t="n">
        <x:v>46509</x:v>
      </x:c>
      <x:c r="B235" s="107" t="str">
        <x:v>Niedziela</x:v>
      </x:c>
      <x:c r="C235" s="107" t="str">
        <x:v>Tydzień 33 (Build 2)</x:v>
      </x:c>
      <x:c r="D235" s="107" t="str">
        <x:v>Dłuższe rowery, bieganie po rowerze, kontrola paliwa</x:v>
      </x:c>
      <x:c r="E235" s="107" t="str">
        <x:v>Bieg długi 70.3</x:v>
      </x:c>
      <x:c r="F235" s="107" t="str">
        <x:v>22 km progresywnie: easy → steady, ostatnie 6 km 4:55-5:05/km jeśli świeżo.</x:v>
      </x:c>
      <x:c r="G235" s="107" t="str">
        <x:v>LONG</x:v>
      </x:c>
      <x:c r="H235" s="107" t="str">
        <x:v>Wytrzymałość tempowa</x:v>
      </x:c>
      <x:c r="I235" s="107" t="str">
        <x:v>3 h przed: sprawdzony posiłek węglowodanowy; bez nowych produktów.</x:v>
      </x:c>
      <x:c r="J235" s="107" t="str">
        <x:v>Po treningu: ryż/ziemniaki + białko + sól/elektrolity.</x:v>
      </x:c>
      <x:c r="K235" s="107" t="str">
        <x:v>Kolacja regeneracyjna: węgle + białko + warzywa; uzupełnij płyny.</x:v>
      </x:c>
      <x:c r="L235" s="107"/>
      <x:c r="M235" s="107"/>
      <x:c r="N235" s="107"/>
      <x:c r="O235" s="107"/>
      <x:c r="P235" s="107"/>
      <x:c r="Q235" s="107" t="str">
        <x:v>Jeśli sobotni rower wszedł ciężko: skróć bieg o 30-50% albo zamień na 40 min easy/spacer.</x:v>
      </x:c>
      <x:c r="V235" s="227"/>
      <x:c r="W235" s="228"/>
      <x:c r="X235" s="226"/>
      <x:c r="Y235" s="229"/>
      <x:c r="Z235" s="227"/>
      <x:c r="AA235" s="226" t="str">
        <x:f>IF(AND(L235="",M235="",N235="",Z235=""),"",IF(OR(M235&gt;=5,N235&lt;6,L235&gt;=8),"CZERWONY",IF(OR(M235&gt;=3,N235&lt;6.5,L235&gt;=7,Z235&lt;=4),"ŻÓŁTY","OK")))</x:f>
      </x:c>
      <x:c r="AB235" s="226" t="str">
        <x:f>IF(AA235="","",IF(AA235="OK","Realizuj plan normalnie.",IF(AA235="ŻÓŁTY","Skróć 10-30% albo zamień akcent na easy.", "STOP mocne bodźce: wolne/basen/Tacx Z1 48-72 h.")))</x:f>
      </x:c>
    </x:row>
    <x:row r="236">
      <x:c r="A236" s="77" t="n">
        <x:v>46510</x:v>
      </x:c>
      <x:c r="B236" s="78" t="str">
        <x:v>Poniedziałek</x:v>
      </x:c>
      <x:c r="C236" s="78" t="str">
        <x:v>Tydzień 34 (Build 2)</x:v>
      </x:c>
      <x:c r="D236" s="78" t="str">
        <x:v>Dłuższe rowery, bieganie po rowerze, kontrola paliwa</x:v>
      </x:c>
      <x:c r="E236" s="78" t="str">
        <x:v>BASEN technika</x:v>
      </x:c>
      <x:c r="F236" s="78" t="str">
        <x:v>2200-2800 m: CSS progression 10x100 m lub 6x200 m + 400-600 m ciągiem. Praca nad rytmem 70.3.</x:v>
      </x:c>
      <x:c r="G236" s="78" t="str">
        <x:v>ŁATWY</x:v>
      </x:c>
      <x:c r="H236" s="78" t="str">
        <x:v>Progresja pływania/CSS</x:v>
      </x:c>
      <x:c r="I236" s="78" t="str">
        <x:v>Jajka lub jogurt/skyr + owoce; kawa spokojnie.</x:v>
      </x:c>
      <x:c r="J236" s="78" t="str">
        <x:v>Zupa/kasza/ryż + warzywa + białko; nawodnienie.</x:v>
      </x:c>
      <x:c r="K236" s="78" t="str">
        <x:v>Lekka kolacja: ryż/ziemniaki + ryba/tofu/jaja + warzywa.</x:v>
      </x:c>
      <x:c r="L236" s="78"/>
      <x:c r="M236" s="78"/>
      <x:c r="N236" s="78"/>
      <x:c r="O236" s="78"/>
      <x:c r="P236" s="78"/>
      <x:c r="Q236" s="78" t="str">
        <x:v>Jeśli technika się sypie: skróć odcinki, wydłuż przerwy, nie dokładaj metrów.</x:v>
      </x:c>
      <x:c r="V236" s="227"/>
      <x:c r="W236" s="228"/>
      <x:c r="X236" s="226"/>
      <x:c r="Y236" s="229"/>
      <x:c r="Z236" s="227"/>
      <x:c r="AA236" s="226" t="str">
        <x:f>IF(AND(L236="",M236="",N236="",Z236=""),"",IF(OR(M236&gt;=5,N236&lt;6,L236&gt;=8),"CZERWONY",IF(OR(M236&gt;=3,N236&lt;6.5,L236&gt;=7,Z236&lt;=4),"ŻÓŁTY","OK")))</x:f>
      </x:c>
      <x:c r="AB236" s="226" t="str">
        <x:f>IF(AA236="","",IF(AA236="OK","Realizuj plan normalnie.",IF(AA236="ŻÓŁTY","Skróć 10-30% albo zamień akcent na easy.", "STOP mocne bodźce: wolne/basen/Tacx Z1 48-72 h.")))</x:f>
      </x:c>
    </x:row>
    <x:row r="237">
      <x:c r="A237" s="53" t="n">
        <x:v>46511</x:v>
      </x:c>
      <x:c r="B237" s="54" t="str">
        <x:v>Wtorek</x:v>
      </x:c>
      <x:c r="C237" s="54" t="str">
        <x:v>Tydzień 34 (Build 2)</x:v>
      </x:c>
      <x:c r="D237" s="54" t="str">
        <x:v>Dłuższe rowery, bieganie po rowerze, kontrola paliwa</x:v>
      </x:c>
      <x:c r="E237" s="54" t="str">
        <x:v>Bieg jakościowy</x:v>
      </x:c>
      <x:c r="F237" s="54" t="str">
        <x:v>10-14 km: 3x2 km w tempie 70.3 4:55-5:05/km / 1 km easy.</x:v>
      </x:c>
      <x:c r="G237" s="54" t="str">
        <x:v>MP/RACE PACE</x:v>
      </x:c>
      <x:c r="H237" s="54" t="str">
        <x:v>Tempo po zmęczeniu</x:v>
      </x:c>
      <x:c r="I237" s="54" t="str">
        <x:v>2-3 h przed: kleik/ryż/wafle + miód/dżem; mało tłuszczu i błonnika.</x:v>
      </x:c>
      <x:c r="J237" s="54" t="str">
        <x:v>Ryż/ziemniaki/kasza + lekkie białko + warzywa.</x:v>
      </x:c>
      <x:c r="K237" s="54" t="str">
        <x:v>Po: 20-35 g białka + węgle; elektrolity.</x:v>
      </x:c>
      <x:c r="L237" s="54"/>
      <x:c r="M237" s="54"/>
      <x:c r="N237" s="54"/>
      <x:c r="O237" s="54"/>
      <x:c r="P237" s="54"/>
      <x:c r="Q237" s="54" t="str">
        <x:v>Jeśli ból ≥3/10 lub sen &lt;6 h: zamień na easy 30-45 min albo basen.</x:v>
      </x:c>
      <x:c r="V237" s="227"/>
      <x:c r="W237" s="228"/>
      <x:c r="X237" s="226"/>
      <x:c r="Y237" s="229"/>
      <x:c r="Z237" s="227"/>
      <x:c r="AA237" s="226" t="str">
        <x:f>IF(AND(L237="",M237="",N237="",Z237=""),"",IF(OR(M237&gt;=5,N237&lt;6,L237&gt;=8),"CZERWONY",IF(OR(M237&gt;=3,N237&lt;6.5,L237&gt;=7,Z237&lt;=4),"ŻÓŁTY","OK")))</x:f>
      </x:c>
      <x:c r="AB237" s="226" t="str">
        <x:f>IF(AA237="","",IF(AA237="OK","Realizuj plan normalnie.",IF(AA237="ŻÓŁTY","Skróć 10-30% albo zamień akcent na easy.", "STOP mocne bodźce: wolne/basen/Tacx Z1 48-72 h.")))</x:f>
      </x:c>
    </x:row>
    <x:row r="238">
      <x:c r="A238" s="53" t="n">
        <x:v>46512</x:v>
      </x:c>
      <x:c r="B238" s="54" t="str">
        <x:v>Środa</x:v>
      </x:c>
      <x:c r="C238" s="54" t="str">
        <x:v>Tydzień 34 (Build 2)</x:v>
      </x:c>
      <x:c r="D238" s="54" t="str">
        <x:v>Dłuższe rowery, bieganie po rowerze, kontrola paliwa</x:v>
      </x:c>
      <x:c r="E238" s="54" t="str">
        <x:v>Tacx sweet spot / race pace</x:v>
      </x:c>
      <x:c r="F238" s="54" t="str">
        <x:v>80-100 min: 3x12-15 min 88-94% FTP lub 210-230 W; przerwy 5 min easy.</x:v>
      </x:c>
      <x:c r="G238" s="54" t="str">
        <x:v>MOCNY</x:v>
      </x:c>
      <x:c r="H238" s="54" t="str">
        <x:v>Moc pod 70.3</x:v>
      </x:c>
      <x:c r="I238" s="54" t="str">
        <x:v>2-3 h przed: kleik/ryż/wafle + miód/dżem; mało tłuszczu i błonnika.</x:v>
      </x:c>
      <x:c r="J238" s="54" t="str">
        <x:v>Ryż/ziemniaki/kasza + lekkie białko + warzywa.</x:v>
      </x:c>
      <x:c r="K238" s="54" t="str">
        <x:v>Po: 20-35 g białka + węgle; elektrolity.</x:v>
      </x:c>
      <x:c r="L238" s="54"/>
      <x:c r="M238" s="54"/>
      <x:c r="N238" s="54"/>
      <x:c r="O238" s="54"/>
      <x:c r="P238" s="54"/>
      <x:c r="Q238" s="54" t="str">
        <x:v>Jeśli ból ≥3/10 lub sen &lt;6 h: zamień na easy 30-45 min albo basen.</x:v>
      </x:c>
      <x:c r="V238" s="227"/>
      <x:c r="W238" s="228"/>
      <x:c r="X238" s="226"/>
      <x:c r="Y238" s="229"/>
      <x:c r="Z238" s="227"/>
      <x:c r="AA238" s="226" t="str">
        <x:f>IF(AND(L238="",M238="",N238="",Z238=""),"",IF(OR(M238&gt;=5,N238&lt;6,L238&gt;=8),"CZERWONY",IF(OR(M238&gt;=3,N238&lt;6.5,L238&gt;=7,Z238&lt;=4),"ŻÓŁTY","OK")))</x:f>
      </x:c>
      <x:c r="AB238" s="226" t="str">
        <x:f>IF(AA238="","",IF(AA238="OK","Realizuj plan normalnie.",IF(AA238="ŻÓŁTY","Skróć 10-30% albo zamień akcent na easy.", "STOP mocne bodźce: wolne/basen/Tacx Z1 48-72 h.")))</x:f>
      </x:c>
    </x:row>
    <x:row r="239">
      <x:c r="A239" s="77" t="n">
        <x:v>46513</x:v>
      </x:c>
      <x:c r="B239" s="78" t="str">
        <x:v>Czwartek</x:v>
      </x:c>
      <x:c r="C239" s="78" t="str">
        <x:v>Tydzień 34 (Build 2)</x:v>
      </x:c>
      <x:c r="D239" s="78" t="str">
        <x:v>Dłuższe rowery, bieganie po rowerze, kontrola paliwa</x:v>
      </x:c>
      <x:c r="E239" s="78" t="str">
        <x:v>Bieg easy + BASEN</x:v>
      </x:c>
      <x:c r="F239" s="78" t="str">
        <x:v>RANO: 6-10 km easy + mobility. WIECZÓR: 2200-2800 m: CSS progression 10x100 m lub 6x200 m + 400-600 m ciągiem. Praca nad rytmem 70.3.</x:v>
      </x:c>
      <x:c r="G239" s="78" t="str">
        <x:v>ŁATWY</x:v>
      </x:c>
      <x:c r="H239" s="78" t="str">
        <x:v>Progresja pływania/CSS</x:v>
      </x:c>
      <x:c r="I239" s="78" t="str">
        <x:v>Jajka lub jogurt/skyr + owoce; kawa spokojnie.</x:v>
      </x:c>
      <x:c r="J239" s="78" t="str">
        <x:v>Zupa/kasza/ryż + warzywa + białko; nawodnienie.</x:v>
      </x:c>
      <x:c r="K239" s="78" t="str">
        <x:v>Lekka kolacja: ryż/ziemniaki + ryba/tofu/jaja + warzywa.</x:v>
      </x:c>
      <x:c r="L239" s="78"/>
      <x:c r="M239" s="78"/>
      <x:c r="N239" s="78"/>
      <x:c r="O239" s="78"/>
      <x:c r="P239" s="78"/>
      <x:c r="Q239" s="78" t="str">
        <x:v>Jeśli technika się sypie: skróć odcinki, wydłuż przerwy, nie dokładaj metrów.</x:v>
      </x:c>
      <x:c r="V239" s="227"/>
      <x:c r="W239" s="228"/>
      <x:c r="X239" s="226"/>
      <x:c r="Y239" s="229"/>
      <x:c r="Z239" s="227"/>
      <x:c r="AA239" s="226" t="str">
        <x:f>IF(AND(L239="",M239="",N239="",Z239=""),"",IF(OR(M239&gt;=5,N239&lt;6,L239&gt;=8),"CZERWONY",IF(OR(M239&gt;=3,N239&lt;6.5,L239&gt;=7,Z239&lt;=4),"ŻÓŁTY","OK")))</x:f>
      </x:c>
      <x:c r="AB239" s="226" t="str">
        <x:f>IF(AA239="","",IF(AA239="OK","Realizuj plan normalnie.",IF(AA239="ŻÓŁTY","Skróć 10-30% albo zamień akcent na easy.", "STOP mocne bodźce: wolne/basen/Tacx Z1 48-72 h.")))</x:f>
      </x:c>
    </x:row>
    <x:row r="240">
      <x:c r="A240" s="71" t="n">
        <x:v>46514</x:v>
      </x:c>
      <x:c r="B240" s="72" t="str">
        <x:v>Piątek</x:v>
      </x:c>
      <x:c r="C240" s="72" t="str">
        <x:v>Tydzień 34 (Build 2)</x:v>
      </x:c>
      <x:c r="D240" s="72" t="str">
        <x:v>Dłuższe rowery, bieganie po rowerze, kontrola paliwa</x:v>
      </x:c>
      <x:c r="E240" s="72" t="str">
        <x:v>WOLNE</x:v>
      </x:c>
      <x:c r="F240" s="72" t="str">
        <x:v>Pełna regeneracja. Zero nadrabiania. Sprawdź sen, RPE i ból.</x:v>
      </x:c>
      <x:c r="G240" s="72" t="str">
        <x:v>WOLNE</x:v>
      </x:c>
      <x:c r="H240" s="72" t="str">
        <x:v>Adaptacja</x:v>
      </x:c>
      <x:c r="I240" s="72" t="str">
        <x:v>Normalne śniadanie, bez wymuszonego ładowania.</x:v>
      </x:c>
      <x:c r="J240" s="72" t="str">
        <x:v>Warzywa + białko + spokojna porcja węgli.</x:v>
      </x:c>
      <x:c r="K240" s="72" t="str">
        <x:v>Lekko, prosto, sen ważniejszy niż idealne makro.</x:v>
      </x:c>
      <x:c r="L240" s="72"/>
      <x:c r="M240" s="72"/>
      <x:c r="N240" s="72"/>
      <x:c r="O240" s="72"/>
      <x:c r="P240" s="72"/>
      <x:c r="Q240" s="72" t="str">
        <x:v>Nie nadrabiaj zaległości. Regeneracja jest częścią planu.</x:v>
      </x:c>
      <x:c r="V240" s="227"/>
      <x:c r="W240" s="228"/>
      <x:c r="X240" s="226"/>
      <x:c r="Y240" s="229"/>
      <x:c r="Z240" s="227"/>
      <x:c r="AA240" s="226" t="str">
        <x:f>IF(AND(L240="",M240="",N240="",Z240=""),"",IF(OR(M240&gt;=5,N240&lt;6,L240&gt;=8),"CZERWONY",IF(OR(M240&gt;=3,N240&lt;6.5,L240&gt;=7,Z240&lt;=4),"ŻÓŁTY","OK")))</x:f>
      </x:c>
      <x:c r="AB240" s="226" t="str">
        <x:f>IF(AA240="","",IF(AA240="OK","Realizuj plan normalnie.",IF(AA240="ŻÓŁTY","Skróć 10-30% albo zamień akcent na easy.", "STOP mocne bodźce: wolne/basen/Tacx Z1 48-72 h.")))</x:f>
      </x:c>
    </x:row>
    <x:row r="241">
      <x:c r="A241" s="113" t="n">
        <x:v>46515</x:v>
      </x:c>
      <x:c r="B241" s="107" t="str">
        <x:v>Sobota</x:v>
      </x:c>
      <x:c r="C241" s="107" t="str">
        <x:v>Tydzień 34 (Build 2)</x:v>
      </x:c>
      <x:c r="D241" s="107" t="str">
        <x:v>Dłuższe rowery, bieganie po rowerze, kontrola paliwa</x:v>
      </x:c>
      <x:c r="E241" s="107" t="str">
        <x:v>Rower długi + T2 kontrolowana</x:v>
      </x:c>
      <x:c r="F241" s="107" t="str">
        <x:v>210 min: tydzień z kluczowym long runem w niedzielę; rower kontrolowany + 8 km T2. Twardy cap roweru: max 210-220 min; jakość &gt; objętość. Paliwo 70-90 g węgli/h.</x:v>
      </x:c>
      <x:c r="G241" s="107" t="str">
        <x:v>LONG</x:v>
      </x:c>
      <x:c r="H241" s="107" t="str">
        <x:v>Rower + adaptacja T2</x:v>
      </x:c>
      <x:c r="I241" s="107" t="str">
        <x:v>3 h przed: sprawdzony posiłek węglowodanowy; bez nowych produktów.</x:v>
      </x:c>
      <x:c r="J241" s="107" t="str">
        <x:v>Po treningu: ryż/ziemniaki + białko + sól/elektrolity.</x:v>
      </x:c>
      <x:c r="K241" s="107" t="str">
        <x:v>Kolacja regeneracyjna: węgle + białko + warzywa; uzupełnij płyny.</x:v>
      </x:c>
      <x:c r="L241" s="107"/>
      <x:c r="M241" s="107"/>
      <x:c r="N241" s="107"/>
      <x:c r="O241" s="107"/>
      <x:c r="P241" s="107"/>
      <x:c r="Q241" s="107" t="str">
        <x:v>Jeśli RPE &gt;7, ból narasta lub paliwo nie wchodzi: skróć T2, nie wydłużaj roweru.</x:v>
      </x:c>
      <x:c r="V241" s="227"/>
      <x:c r="W241" s="228"/>
      <x:c r="X241" s="226"/>
      <x:c r="Y241" s="229"/>
      <x:c r="Z241" s="227"/>
      <x:c r="AA241" s="226" t="str">
        <x:f>IF(AND(L241="",M241="",N241="",Z241=""),"",IF(OR(M241&gt;=5,N241&lt;6,L241&gt;=8),"CZERWONY",IF(OR(M241&gt;=3,N241&lt;6.5,L241&gt;=7,Z241&lt;=4),"ŻÓŁTY","OK")))</x:f>
      </x:c>
      <x:c r="AB241" s="226" t="str">
        <x:f>IF(AA241="","",IF(AA241="OK","Realizuj plan normalnie.",IF(AA241="ŻÓŁTY","Skróć 10-30% albo zamień akcent na easy.", "STOP mocne bodźce: wolne/basen/Tacx Z1 48-72 h.")))</x:f>
      </x:c>
    </x:row>
    <x:row r="242">
      <x:c r="A242" s="113" t="n">
        <x:v>46516</x:v>
      </x:c>
      <x:c r="B242" s="107" t="str">
        <x:v>Niedziela</x:v>
      </x:c>
      <x:c r="C242" s="107" t="str">
        <x:v>Tydzień 34 (Build 2)</x:v>
      </x:c>
      <x:c r="D242" s="107" t="str">
        <x:v>Dłuższe rowery, bieganie po rowerze, kontrola paliwa</x:v>
      </x:c>
      <x:c r="E242" s="107" t="str">
        <x:v>Bieg kluczowy 70.3</x:v>
      </x:c>
      <x:c r="F242" s="107" t="str">
        <x:v>22-24 km: 8-10 km easy + 3x3 km w tempie 70.3 / 1 km easy + schłodzenie. Kluczowy run Build 2.</x:v>
      </x:c>
      <x:c r="G242" s="107" t="str">
        <x:v>LONG</x:v>
      </x:c>
      <x:c r="H242" s="107" t="str">
        <x:v>Peak biegowy</x:v>
      </x:c>
      <x:c r="I242" s="107" t="str">
        <x:v>3 h przed: sprawdzony posiłek węglowodanowy; bez nowych produktów.</x:v>
      </x:c>
      <x:c r="J242" s="107" t="str">
        <x:v>Po treningu: ryż/ziemniaki + białko + sól/elektrolity.</x:v>
      </x:c>
      <x:c r="K242" s="107" t="str">
        <x:v>Kolacja regeneracyjna: węgle + białko + warzywa; uzupełnij płyny.</x:v>
      </x:c>
      <x:c r="L242" s="107"/>
      <x:c r="M242" s="107"/>
      <x:c r="N242" s="107"/>
      <x:c r="O242" s="107"/>
      <x:c r="P242" s="107"/>
      <x:c r="Q242" s="107" t="str">
        <x:v>Jeśli sobotni rower wszedł ciężko: skróć bieg o 30-50% albo zamień na 40 min easy/spacer.</x:v>
      </x:c>
      <x:c r="V242" s="227"/>
      <x:c r="W242" s="228"/>
      <x:c r="X242" s="226"/>
      <x:c r="Y242" s="229"/>
      <x:c r="Z242" s="227"/>
      <x:c r="AA242" s="226" t="str">
        <x:f>IF(AND(L242="",M242="",N242="",Z242=""),"",IF(OR(M242&gt;=5,N242&lt;6,L242&gt;=8),"CZERWONY",IF(OR(M242&gt;=3,N242&lt;6.5,L242&gt;=7,Z242&lt;=4),"ŻÓŁTY","OK")))</x:f>
      </x:c>
      <x:c r="AB242" s="226" t="str">
        <x:f>IF(AA242="","",IF(AA242="OK","Realizuj plan normalnie.",IF(AA242="ŻÓŁTY","Skróć 10-30% albo zamień akcent na easy.", "STOP mocne bodźce: wolne/basen/Tacx Z1 48-72 h.")))</x:f>
      </x:c>
    </x:row>
    <x:row r="243">
      <x:c r="A243" s="77" t="n">
        <x:v>46517</x:v>
      </x:c>
      <x:c r="B243" s="78" t="str">
        <x:v>Poniedziałek</x:v>
      </x:c>
      <x:c r="C243" s="78" t="str">
        <x:v>Tydzień 35 (Build 2)</x:v>
      </x:c>
      <x:c r="D243" s="78" t="str">
        <x:v>Dłuższe rowery, bieganie po rowerze, kontrola paliwa</x:v>
      </x:c>
      <x:c r="E243" s="78" t="str">
        <x:v>BASEN technika</x:v>
      </x:c>
      <x:c r="F243" s="78" t="str">
        <x:v>2200-2800 m: CSS progression 10x100 m lub 6x200 m + 400-600 m ciągiem. Praca nad rytmem 70.3.</x:v>
      </x:c>
      <x:c r="G243" s="78" t="str">
        <x:v>ŁATWY</x:v>
      </x:c>
      <x:c r="H243" s="78" t="str">
        <x:v>Progresja pływania/CSS</x:v>
      </x:c>
      <x:c r="I243" s="78" t="str">
        <x:v>Jajka lub jogurt/skyr + owoce; kawa spokojnie.</x:v>
      </x:c>
      <x:c r="J243" s="78" t="str">
        <x:v>Zupa/kasza/ryż + warzywa + białko; nawodnienie.</x:v>
      </x:c>
      <x:c r="K243" s="78" t="str">
        <x:v>Lekka kolacja: ryż/ziemniaki + ryba/tofu/jaja + warzywa.</x:v>
      </x:c>
      <x:c r="L243" s="78"/>
      <x:c r="M243" s="78"/>
      <x:c r="N243" s="78"/>
      <x:c r="O243" s="78"/>
      <x:c r="P243" s="78"/>
      <x:c r="Q243" s="78" t="str">
        <x:v>Jeśli technika się sypie: skróć odcinki, wydłuż przerwy, nie dokładaj metrów.</x:v>
      </x:c>
      <x:c r="V243" s="227"/>
      <x:c r="W243" s="228"/>
      <x:c r="X243" s="226"/>
      <x:c r="Y243" s="229"/>
      <x:c r="Z243" s="227"/>
      <x:c r="AA243" s="226" t="str">
        <x:f>IF(AND(L243="",M243="",N243="",Z243=""),"",IF(OR(M243&gt;=5,N243&lt;6,L243&gt;=8),"CZERWONY",IF(OR(M243&gt;=3,N243&lt;6.5,L243&gt;=7,Z243&lt;=4),"ŻÓŁTY","OK")))</x:f>
      </x:c>
      <x:c r="AB243" s="226" t="str">
        <x:f>IF(AA243="","",IF(AA243="OK","Realizuj plan normalnie.",IF(AA243="ŻÓŁTY","Skróć 10-30% albo zamień akcent na easy.", "STOP mocne bodźce: wolne/basen/Tacx Z1 48-72 h.")))</x:f>
      </x:c>
    </x:row>
    <x:row r="244">
      <x:c r="A244" s="113" t="n">
        <x:v>46518</x:v>
      </x:c>
      <x:c r="B244" s="107" t="str">
        <x:v>Wtorek</x:v>
      </x:c>
      <x:c r="C244" s="107" t="str">
        <x:v>Tydzień 35 (Build 2)</x:v>
      </x:c>
      <x:c r="D244" s="107" t="str">
        <x:v>Dłuższe rowery, bieganie po rowerze, kontrola paliwa</x:v>
      </x:c>
      <x:c r="E244" s="107" t="str">
        <x:v>Bieg easy + rytmy</x:v>
      </x:c>
      <x:c r="F244" s="107" t="str">
        <x:v>6-8 km easy + 4x20 s rytmy tylko jeśli świeżo. Tydzień lżejszy.</x:v>
      </x:c>
      <x:c r="G244" s="107" t="str">
        <x:v>REGENERACJA</x:v>
      </x:c>
      <x:c r="H244" s="107" t="str">
        <x:v>Odświeżenie</x:v>
      </x:c>
      <x:c r="I244" s="107" t="str">
        <x:v>Normalne śniadanie, bez wymuszonego ładowania.</x:v>
      </x:c>
      <x:c r="J244" s="107" t="str">
        <x:v>Warzywa + białko + spokojna porcja węgli.</x:v>
      </x:c>
      <x:c r="K244" s="107" t="str">
        <x:v>Lekko, prosto, sen ważniejszy niż idealne makro.</x:v>
      </x:c>
      <x:c r="L244" s="107"/>
      <x:c r="M244" s="107"/>
      <x:c r="N244" s="107"/>
      <x:c r="O244" s="107"/>
      <x:c r="P244" s="107"/>
      <x:c r="Q244" s="107" t="str">
        <x:v>Nie nadrabiaj zaległości. Regeneracja jest częścią planu.</x:v>
      </x:c>
      <x:c r="V244" s="227"/>
      <x:c r="W244" s="228"/>
      <x:c r="X244" s="226"/>
      <x:c r="Y244" s="229"/>
      <x:c r="Z244" s="227"/>
      <x:c r="AA244" s="226" t="str">
        <x:f>IF(AND(L244="",M244="",N244="",Z244=""),"",IF(OR(M244&gt;=5,N244&lt;6,L244&gt;=8),"CZERWONY",IF(OR(M244&gt;=3,N244&lt;6.5,L244&gt;=7,Z244&lt;=4),"ŻÓŁTY","OK")))</x:f>
      </x:c>
      <x:c r="AB244" s="226" t="str">
        <x:f>IF(AA244="","",IF(AA244="OK","Realizuj plan normalnie.",IF(AA244="ŻÓŁTY","Skróć 10-30% albo zamień akcent na easy.", "STOP mocne bodźce: wolne/basen/Tacx Z1 48-72 h.")))</x:f>
      </x:c>
    </x:row>
    <x:row r="245">
      <x:c r="A245" s="113" t="n">
        <x:v>46519</x:v>
      </x:c>
      <x:c r="B245" s="107" t="str">
        <x:v>Środa</x:v>
      </x:c>
      <x:c r="C245" s="107" t="str">
        <x:v>Tydzień 35 (Build 2)</x:v>
      </x:c>
      <x:c r="D245" s="107" t="str">
        <x:v>Dłuższe rowery, bieganie po rowerze, kontrola paliwa</x:v>
      </x:c>
      <x:c r="E245" s="107" t="str">
        <x:v>Tacx regeneracyjny</x:v>
      </x:c>
      <x:c r="F245" s="107" t="str">
        <x:v>45-60 min Z1/Z2 135-165 W. STAŁY limit regeneracji: bez skalowania minut, bez sweet spot.</x:v>
      </x:c>
      <x:c r="G245" s="107" t="str">
        <x:v>REGENERACJA</x:v>
      </x:c>
      <x:c r="H245" s="107" t="str">
        <x:v>Odświeżenie</x:v>
      </x:c>
      <x:c r="I245" s="107" t="str">
        <x:v>Normalne śniadanie, bez wymuszonego ładowania.</x:v>
      </x:c>
      <x:c r="J245" s="107" t="str">
        <x:v>Warzywa + białko + spokojna porcja węgli.</x:v>
      </x:c>
      <x:c r="K245" s="107" t="str">
        <x:v>Lekko, prosto, sen ważniejszy niż idealne makro.</x:v>
      </x:c>
      <x:c r="L245" s="107"/>
      <x:c r="M245" s="107"/>
      <x:c r="N245" s="107"/>
      <x:c r="O245" s="107"/>
      <x:c r="P245" s="107"/>
      <x:c r="Q245" s="107" t="str">
        <x:v>Nie nadrabiaj zaległości. Regeneracja jest częścią planu.</x:v>
      </x:c>
      <x:c r="V245" s="227"/>
      <x:c r="W245" s="228"/>
      <x:c r="X245" s="226"/>
      <x:c r="Y245" s="229"/>
      <x:c r="Z245" s="227"/>
      <x:c r="AA245" s="226" t="str">
        <x:f>IF(AND(L245="",M245="",N245="",Z245=""),"",IF(OR(M245&gt;=5,N245&lt;6,L245&gt;=8),"CZERWONY",IF(OR(M245&gt;=3,N245&lt;6.5,L245&gt;=7,Z245&lt;=4),"ŻÓŁTY","OK")))</x:f>
      </x:c>
      <x:c r="AB245" s="226" t="str">
        <x:f>IF(AA245="","",IF(AA245="OK","Realizuj plan normalnie.",IF(AA245="ŻÓŁTY","Skróć 10-30% albo zamień akcent na easy.", "STOP mocne bodźce: wolne/basen/Tacx Z1 48-72 h.")))</x:f>
      </x:c>
    </x:row>
    <x:row r="246">
      <x:c r="A246" s="77" t="n">
        <x:v>46520</x:v>
      </x:c>
      <x:c r="B246" s="78" t="str">
        <x:v>Czwartek</x:v>
      </x:c>
      <x:c r="C246" s="78" t="str">
        <x:v>Tydzień 35 (Build 2)</x:v>
      </x:c>
      <x:c r="D246" s="78" t="str">
        <x:v>Dłuższe rowery, bieganie po rowerze, kontrola paliwa</x:v>
      </x:c>
      <x:c r="E246" s="78" t="str">
        <x:v>Bieg easy + BASEN</x:v>
      </x:c>
      <x:c r="F246" s="78" t="str">
        <x:v>RANO: 6-10 km easy + mobility. WIECZÓR: 2200-2800 m: CSS progression 10x100 m lub 6x200 m + 400-600 m ciągiem. Praca nad rytmem 70.3.</x:v>
      </x:c>
      <x:c r="G246" s="78" t="str">
        <x:v>ŁATWY</x:v>
      </x:c>
      <x:c r="H246" s="78" t="str">
        <x:v>Progresja pływania/CSS</x:v>
      </x:c>
      <x:c r="I246" s="78" t="str">
        <x:v>Jajka lub jogurt/skyr + owoce; kawa spokojnie.</x:v>
      </x:c>
      <x:c r="J246" s="78" t="str">
        <x:v>Zupa/kasza/ryż + warzywa + białko; nawodnienie.</x:v>
      </x:c>
      <x:c r="K246" s="78" t="str">
        <x:v>Lekka kolacja: ryż/ziemniaki + ryba/tofu/jaja + warzywa.</x:v>
      </x:c>
      <x:c r="L246" s="78"/>
      <x:c r="M246" s="78"/>
      <x:c r="N246" s="78"/>
      <x:c r="O246" s="78"/>
      <x:c r="P246" s="78"/>
      <x:c r="Q246" s="78" t="str">
        <x:v>Jeśli technika się sypie: skróć odcinki, wydłuż przerwy, nie dokładaj metrów.</x:v>
      </x:c>
      <x:c r="V246" s="227"/>
      <x:c r="W246" s="228"/>
      <x:c r="X246" s="226"/>
      <x:c r="Y246" s="229"/>
      <x:c r="Z246" s="227"/>
      <x:c r="AA246" s="226" t="str">
        <x:f>IF(AND(L246="",M246="",N246="",Z246=""),"",IF(OR(M246&gt;=5,N246&lt;6,L246&gt;=8),"CZERWONY",IF(OR(M246&gt;=3,N246&lt;6.5,L246&gt;=7,Z246&lt;=4),"ŻÓŁTY","OK")))</x:f>
      </x:c>
      <x:c r="AB246" s="226" t="str">
        <x:f>IF(AA246="","",IF(AA246="OK","Realizuj plan normalnie.",IF(AA246="ŻÓŁTY","Skróć 10-30% albo zamień akcent na easy.", "STOP mocne bodźce: wolne/basen/Tacx Z1 48-72 h.")))</x:f>
      </x:c>
    </x:row>
    <x:row r="247">
      <x:c r="A247" s="71" t="n">
        <x:v>46521</x:v>
      </x:c>
      <x:c r="B247" s="72" t="str">
        <x:v>Piątek</x:v>
      </x:c>
      <x:c r="C247" s="72" t="str">
        <x:v>Tydzień 35 (Build 2)</x:v>
      </x:c>
      <x:c r="D247" s="72" t="str">
        <x:v>Dłuższe rowery, bieganie po rowerze, kontrola paliwa</x:v>
      </x:c>
      <x:c r="E247" s="72" t="str">
        <x:v>WOLNE</x:v>
      </x:c>
      <x:c r="F247" s="72" t="str">
        <x:v>Pełna regeneracja. Zero nadrabiania. Sprawdź sen, RPE i ból.</x:v>
      </x:c>
      <x:c r="G247" s="72" t="str">
        <x:v>WOLNE</x:v>
      </x:c>
      <x:c r="H247" s="72" t="str">
        <x:v>Adaptacja</x:v>
      </x:c>
      <x:c r="I247" s="72" t="str">
        <x:v>Normalne śniadanie, bez wymuszonego ładowania.</x:v>
      </x:c>
      <x:c r="J247" s="72" t="str">
        <x:v>Warzywa + białko + spokojna porcja węgli.</x:v>
      </x:c>
      <x:c r="K247" s="72" t="str">
        <x:v>Lekko, prosto, sen ważniejszy niż idealne makro.</x:v>
      </x:c>
      <x:c r="L247" s="72"/>
      <x:c r="M247" s="72"/>
      <x:c r="N247" s="72"/>
      <x:c r="O247" s="72"/>
      <x:c r="P247" s="72"/>
      <x:c r="Q247" s="72" t="str">
        <x:v>Nie nadrabiaj zaległości. Regeneracja jest częścią planu.</x:v>
      </x:c>
      <x:c r="V247" s="227"/>
      <x:c r="W247" s="228"/>
      <x:c r="X247" s="226"/>
      <x:c r="Y247" s="229"/>
      <x:c r="Z247" s="227"/>
      <x:c r="AA247" s="226" t="str">
        <x:f>IF(AND(L247="",M247="",N247="",Z247=""),"",IF(OR(M247&gt;=5,N247&lt;6,L247&gt;=8),"CZERWONY",IF(OR(M247&gt;=3,N247&lt;6.5,L247&gt;=7,Z247&lt;=4),"ŻÓŁTY","OK")))</x:f>
      </x:c>
      <x:c r="AB247" s="226" t="str">
        <x:f>IF(AA247="","",IF(AA247="OK","Realizuj plan normalnie.",IF(AA247="ŻÓŁTY","Skróć 10-30% albo zamień akcent na easy.", "STOP mocne bodźce: wolne/basen/Tacx Z1 48-72 h.")))</x:f>
      </x:c>
    </x:row>
    <x:row r="248">
      <x:c r="A248" s="113" t="n">
        <x:v>46522</x:v>
      </x:c>
      <x:c r="B248" s="107" t="str">
        <x:v>Sobota</x:v>
      </x:c>
      <x:c r="C248" s="107" t="str">
        <x:v>Tydzień 35 (Build 2)</x:v>
      </x:c>
      <x:c r="D248" s="107" t="str">
        <x:v>Dłuższe rowery, bieganie po rowerze, kontrola paliwa</x:v>
      </x:c>
      <x:c r="E248" s="107" t="str">
        <x:v>Rower regeneracyjny</x:v>
      </x:c>
      <x:c r="F248" s="107" t="str">
        <x:v>45-60 min Z1/Z2. Bez T2. To jest prawdziwy tydzień regeneracyjny.</x:v>
      </x:c>
      <x:c r="G248" s="107" t="str">
        <x:v>REGENERACJA</x:v>
      </x:c>
      <x:c r="H248" s="107" t="str">
        <x:v>Zrzut zmęczenia</x:v>
      </x:c>
      <x:c r="I248" s="107" t="str">
        <x:v>Normalne śniadanie, bez wymuszonego ładowania.</x:v>
      </x:c>
      <x:c r="J248" s="107" t="str">
        <x:v>Warzywa + białko + spokojna porcja węgli.</x:v>
      </x:c>
      <x:c r="K248" s="107" t="str">
        <x:v>Lekko, prosto, sen ważniejszy niż idealne makro.</x:v>
      </x:c>
      <x:c r="L248" s="107"/>
      <x:c r="M248" s="107"/>
      <x:c r="N248" s="107"/>
      <x:c r="O248" s="107"/>
      <x:c r="P248" s="107"/>
      <x:c r="Q248" s="107" t="str">
        <x:v>Nie nadrabiaj zaległości. Regeneracja jest częścią planu.</x:v>
      </x:c>
      <x:c r="V248" s="227"/>
      <x:c r="W248" s="228"/>
      <x:c r="X248" s="226"/>
      <x:c r="Y248" s="229"/>
      <x:c r="Z248" s="227"/>
      <x:c r="AA248" s="226" t="str">
        <x:f>IF(AND(L248="",M248="",N248="",Z248=""),"",IF(OR(M248&gt;=5,N248&lt;6,L248&gt;=8),"CZERWONY",IF(OR(M248&gt;=3,N248&lt;6.5,L248&gt;=7,Z248&lt;=4),"ŻÓŁTY","OK")))</x:f>
      </x:c>
      <x:c r="AB248" s="226" t="str">
        <x:f>IF(AA248="","",IF(AA248="OK","Realizuj plan normalnie.",IF(AA248="ŻÓŁTY","Skróć 10-30% albo zamień akcent na easy.", "STOP mocne bodźce: wolne/basen/Tacx Z1 48-72 h.")))</x:f>
      </x:c>
    </x:row>
    <x:row r="249">
      <x:c r="A249" s="113" t="n">
        <x:v>46523</x:v>
      </x:c>
      <x:c r="B249" s="107" t="str">
        <x:v>Niedziela</x:v>
      </x:c>
      <x:c r="C249" s="107" t="str">
        <x:v>Tydzień 35 (Build 2)</x:v>
      </x:c>
      <x:c r="D249" s="107" t="str">
        <x:v>Dłuższe rowery, bieganie po rowerze, kontrola paliwa</x:v>
      </x:c>
      <x:c r="E249" s="107" t="str">
        <x:v>Bieg easy krótki</x:v>
      </x:c>
      <x:c r="F249" s="107" t="str">
        <x:v>6-10 km easy 5:45-6:15/km. Tydzień lżejszy, bez ambicji.</x:v>
      </x:c>
      <x:c r="G249" s="107" t="str">
        <x:v>REGENERACJA</x:v>
      </x:c>
      <x:c r="H249" s="107" t="str">
        <x:v>Odświeżenie</x:v>
      </x:c>
      <x:c r="I249" s="107" t="str">
        <x:v>Normalne śniadanie, bez wymuszonego ładowania.</x:v>
      </x:c>
      <x:c r="J249" s="107" t="str">
        <x:v>Warzywa + białko + spokojna porcja węgli.</x:v>
      </x:c>
      <x:c r="K249" s="107" t="str">
        <x:v>Lekko, prosto, sen ważniejszy niż idealne makro.</x:v>
      </x:c>
      <x:c r="L249" s="107"/>
      <x:c r="M249" s="107"/>
      <x:c r="N249" s="107"/>
      <x:c r="O249" s="107"/>
      <x:c r="P249" s="107"/>
      <x:c r="Q249" s="107" t="str">
        <x:v>Nie nadrabiaj zaległości. Regeneracja jest częścią planu.</x:v>
      </x:c>
      <x:c r="V249" s="227"/>
      <x:c r="W249" s="228"/>
      <x:c r="X249" s="226"/>
      <x:c r="Y249" s="229"/>
      <x:c r="Z249" s="227"/>
      <x:c r="AA249" s="226" t="str">
        <x:f>IF(AND(L249="",M249="",N249="",Z249=""),"",IF(OR(M249&gt;=5,N249&lt;6,L249&gt;=8),"CZERWONY",IF(OR(M249&gt;=3,N249&lt;6.5,L249&gt;=7,Z249&lt;=4),"ŻÓŁTY","OK")))</x:f>
      </x:c>
      <x:c r="AB249" s="226" t="str">
        <x:f>IF(AA249="","",IF(AA249="OK","Realizuj plan normalnie.",IF(AA249="ŻÓŁTY","Skróć 10-30% albo zamień akcent na easy.", "STOP mocne bodźce: wolne/basen/Tacx Z1 48-72 h.")))</x:f>
      </x:c>
    </x:row>
    <x:row r="250">
      <x:c r="A250" s="53" t="n">
        <x:v>46524</x:v>
      </x:c>
      <x:c r="B250" s="54" t="str">
        <x:v>Poniedziałek</x:v>
      </x:c>
      <x:c r="C250" s="54" t="str">
        <x:v>Tydzień 36 (Specyficzna 70.3)</x:v>
      </x:c>
      <x:c r="D250" s="54" t="str">
        <x:v>Race pace, open water, symulacje startowe</x:v>
      </x:c>
      <x:c r="E250" s="54" t="str">
        <x:v>Pływanie technika</x:v>
      </x:c>
      <x:c r="F250" s="54" t="str">
        <x:v>Basen 1800-2400 m: technika chwytu + 8x100 m spokojnie. Open water zostaje na czwartek/weekend.</x:v>
      </x:c>
      <x:c r="G250" s="54" t="str">
        <x:v>ŁATWY</x:v>
      </x:c>
      <x:c r="H250" s="54" t="str">
        <x:v>Technika</x:v>
      </x:c>
      <x:c r="I250" s="54" t="str">
        <x:v>Jajka lub jogurt/skyr + owoce; kawa spokojnie.</x:v>
      </x:c>
      <x:c r="J250" s="54" t="str">
        <x:v>Zupa/kasza/ryż + warzywa + białko; nawodnienie.</x:v>
      </x:c>
      <x:c r="K250" s="54" t="str">
        <x:v>Lekka kolacja: ryż/ziemniaki + ryba/tofu/jaja + warzywa.</x:v>
      </x:c>
      <x:c r="L250" s="54"/>
      <x:c r="M250" s="54"/>
      <x:c r="N250" s="54"/>
      <x:c r="O250" s="54"/>
      <x:c r="P250" s="54"/>
      <x:c r="Q250" s="54" t="str">
        <x:v>Jeśli nogi ciężkie: skróć o 20-30% i trzymaj Z1/Z2.</x:v>
      </x:c>
      <x:c r="V250" s="227"/>
      <x:c r="W250" s="228"/>
      <x:c r="X250" s="226"/>
      <x:c r="Y250" s="229"/>
      <x:c r="Z250" s="227"/>
      <x:c r="AA250" s="226" t="str">
        <x:f>IF(AND(L250="",M250="",N250="",Z250=""),"",IF(OR(M250&gt;=5,N250&lt;6,L250&gt;=8),"CZERWONY",IF(OR(M250&gt;=3,N250&lt;6.5,L250&gt;=7,Z250&lt;=4),"ŻÓŁTY","OK")))</x:f>
      </x:c>
      <x:c r="AB250" s="226" t="str">
        <x:f>IF(AA250="","",IF(AA250="OK","Realizuj plan normalnie.",IF(AA250="ŻÓŁTY","Skróć 10-30% albo zamień akcent na easy.", "STOP mocne bodźce: wolne/basen/Tacx Z1 48-72 h.")))</x:f>
      </x:c>
    </x:row>
    <x:row r="251">
      <x:c r="A251" s="53" t="n">
        <x:v>46525</x:v>
      </x:c>
      <x:c r="B251" s="54" t="str">
        <x:v>Wtorek</x:v>
      </x:c>
      <x:c r="C251" s="54" t="str">
        <x:v>Tydzień 36 (Specyficzna 70.3)</x:v>
      </x:c>
      <x:c r="D251" s="54" t="str">
        <x:v>Race pace, open water, symulacje startowe</x:v>
      </x:c>
      <x:c r="E251" s="54" t="str">
        <x:v>Bieg race pace</x:v>
      </x:c>
      <x:c r="F251" s="54" t="str">
        <x:v>10-16 km: 6-10 km w tempie 70.3 4:55-5:05/km. Nie szybciej niż plan.</x:v>
      </x:c>
      <x:c r="G251" s="54" t="str">
        <x:v>MP/RACE PACE</x:v>
      </x:c>
      <x:c r="H251" s="54" t="str">
        <x:v>Specyfika 70.3</x:v>
      </x:c>
      <x:c r="I251" s="54" t="str">
        <x:v>2-3 h przed: kleik/ryż/wafle + miód/dżem; mało tłuszczu i błonnika.</x:v>
      </x:c>
      <x:c r="J251" s="54" t="str">
        <x:v>Ryż/ziemniaki/kasza + lekkie białko + warzywa.</x:v>
      </x:c>
      <x:c r="K251" s="54" t="str">
        <x:v>Po: 20-35 g białka + węgle; elektrolity.</x:v>
      </x:c>
      <x:c r="L251" s="54"/>
      <x:c r="M251" s="54"/>
      <x:c r="N251" s="54"/>
      <x:c r="O251" s="54"/>
      <x:c r="P251" s="54"/>
      <x:c r="Q251" s="54" t="str">
        <x:v>Jeśli ból ≥3/10 lub sen &lt;6 h: zamień na easy 30-45 min albo basen.</x:v>
      </x:c>
      <x:c r="V251" s="227"/>
      <x:c r="W251" s="228"/>
      <x:c r="X251" s="226"/>
      <x:c r="Y251" s="229"/>
      <x:c r="Z251" s="227"/>
      <x:c r="AA251" s="226" t="str">
        <x:f>IF(AND(L251="",M251="",N251="",Z251=""),"",IF(OR(M251&gt;=5,N251&lt;6,L251&gt;=8),"CZERWONY",IF(OR(M251&gt;=3,N251&lt;6.5,L251&gt;=7,Z251&lt;=4),"ŻÓŁTY","OK")))</x:f>
      </x:c>
      <x:c r="AB251" s="226" t="str">
        <x:f>IF(AA251="","",IF(AA251="OK","Realizuj plan normalnie.",IF(AA251="ŻÓŁTY","Skróć 10-30% albo zamień akcent na easy.", "STOP mocne bodźce: wolne/basen/Tacx Z1 48-72 h.")))</x:f>
      </x:c>
    </x:row>
    <x:row r="252">
      <x:c r="A252" s="53" t="n">
        <x:v>46526</x:v>
      </x:c>
      <x:c r="B252" s="54" t="str">
        <x:v>Środa</x:v>
      </x:c>
      <x:c r="C252" s="54" t="str">
        <x:v>Tydzień 36 (Specyficzna 70.3)</x:v>
      </x:c>
      <x:c r="D252" s="54" t="str">
        <x:v>Race pace, open water, symulacje startowe</x:v>
      </x:c>
      <x:c r="E252" s="54" t="str">
        <x:v>TEST FTP / Ramp lub 20 min</x:v>
      </x:c>
      <x:c r="F252" s="54" t="str">
        <x:v>Rozgrzewka 20 min + ramp test albo 20 min FTP + schłodzenie. Po teście aktualizuj strefy watów.</x:v>
      </x:c>
      <x:c r="G252" s="54" t="str">
        <x:v>TEST/START</x:v>
      </x:c>
      <x:c r="H252" s="54" t="str">
        <x:v>Kalibracja mocy</x:v>
      </x:c>
      <x:c r="I252" s="54" t="str">
        <x:v>3 h przed: sprawdzony posiłek węglowodanowy; bez nowych produktów.</x:v>
      </x:c>
      <x:c r="J252" s="54" t="str">
        <x:v>Po treningu: ryż/ziemniaki + białko + sól/elektrolity.</x:v>
      </x:c>
      <x:c r="K252" s="54" t="str">
        <x:v>Kolacja regeneracyjna: węgle + białko + warzywa; uzupełnij płyny.</x:v>
      </x:c>
      <x:c r="L252" s="54"/>
      <x:c r="M252" s="54"/>
      <x:c r="N252" s="54"/>
      <x:c r="O252" s="54"/>
      <x:c r="P252" s="54"/>
      <x:c r="Q252" s="54" t="str">
        <x:v>Jeśli ból ≥3/10 lub sen &lt;6 h: zamień na easy 30-45 min albo basen.</x:v>
      </x:c>
      <x:c r="V252" s="227"/>
      <x:c r="W252" s="228"/>
      <x:c r="X252" s="226"/>
      <x:c r="Y252" s="229"/>
      <x:c r="Z252" s="227"/>
      <x:c r="AA252" s="226" t="str">
        <x:f>IF(AND(L252="",M252="",N252="",Z252=""),"",IF(OR(M252&gt;=5,N252&lt;6,L252&gt;=8),"CZERWONY",IF(OR(M252&gt;=3,N252&lt;6.5,L252&gt;=7,Z252&lt;=4),"ŻÓŁTY","OK")))</x:f>
      </x:c>
      <x:c r="AB252" s="226" t="str">
        <x:f>IF(AA252="","",IF(AA252="OK","Realizuj plan normalnie.",IF(AA252="ŻÓŁTY","Skróć 10-30% albo zamień akcent na easy.", "STOP mocne bodźce: wolne/basen/Tacx Z1 48-72 h.")))</x:f>
      </x:c>
    </x:row>
    <x:row r="253">
      <x:c r="A253" s="53" t="n">
        <x:v>46527</x:v>
      </x:c>
      <x:c r="B253" s="54" t="str">
        <x:v>Czwartek</x:v>
      </x:c>
      <x:c r="C253" s="54" t="str">
        <x:v>Tydzień 36 (Specyficzna 70.3)</x:v>
      </x:c>
      <x:c r="D253" s="54" t="str">
        <x:v>Race pace, open water, symulacje startowe</x:v>
      </x:c>
      <x:c r="E253" s="54" t="str">
        <x:v>Bieg easy + OPEN WATER</x:v>
      </x:c>
      <x:c r="F253" s="54" t="str">
        <x:v>RANO: 6-10 km easy. WIECZÓR: OPEN WATER 30-50 min: nawigacja, start, nawroty, płynięcie w kontakcie. Co 2-3 tygodnie 1500-1900 m ciągiem.</x:v>
      </x:c>
      <x:c r="G253" s="54" t="str">
        <x:v>ŁATWY</x:v>
      </x:c>
      <x:c r="H253" s="54" t="str">
        <x:v>Adaptacja open water</x:v>
      </x:c>
      <x:c r="I253" s="54" t="str">
        <x:v>Jajka lub jogurt/skyr + owoce; kawa spokojnie.</x:v>
      </x:c>
      <x:c r="J253" s="54" t="str">
        <x:v>Zupa/kasza/ryż + warzywa + białko; nawodnienie.</x:v>
      </x:c>
      <x:c r="K253" s="54" t="str">
        <x:v>Lekka kolacja: ryż/ziemniaki + ryba/tofu/jaja + warzywa.</x:v>
      </x:c>
      <x:c r="L253" s="54"/>
      <x:c r="M253" s="54"/>
      <x:c r="N253" s="54"/>
      <x:c r="O253" s="54"/>
      <x:c r="P253" s="54"/>
      <x:c r="Q253" s="54" t="str">
        <x:v>Jeśli technika się sypie: skróć odcinki, wydłuż przerwy, nie dokładaj metrów.</x:v>
      </x:c>
      <x:c r="V253" s="227"/>
      <x:c r="W253" s="228"/>
      <x:c r="X253" s="226"/>
      <x:c r="Y253" s="229"/>
      <x:c r="Z253" s="227"/>
      <x:c r="AA253" s="226" t="str">
        <x:f>IF(AND(L253="",M253="",N253="",Z253=""),"",IF(OR(M253&gt;=5,N253&lt;6,L253&gt;=8),"CZERWONY",IF(OR(M253&gt;=3,N253&lt;6.5,L253&gt;=7,Z253&lt;=4),"ŻÓŁTY","OK")))</x:f>
      </x:c>
      <x:c r="AB253" s="226" t="str">
        <x:f>IF(AA253="","",IF(AA253="OK","Realizuj plan normalnie.",IF(AA253="ŻÓŁTY","Skróć 10-30% albo zamień akcent na easy.", "STOP mocne bodźce: wolne/basen/Tacx Z1 48-72 h.")))</x:f>
      </x:c>
    </x:row>
    <x:row r="254">
      <x:c r="A254" s="71" t="n">
        <x:v>46528</x:v>
      </x:c>
      <x:c r="B254" s="72" t="str">
        <x:v>Piątek</x:v>
      </x:c>
      <x:c r="C254" s="72" t="str">
        <x:v>Tydzień 36 (Specyficzna 70.3)</x:v>
      </x:c>
      <x:c r="D254" s="72" t="str">
        <x:v>Race pace, open water, symulacje startowe</x:v>
      </x:c>
      <x:c r="E254" s="72" t="str">
        <x:v>WOLNE</x:v>
      </x:c>
      <x:c r="F254" s="72" t="str">
        <x:v>Pełna regeneracja. Zero nadrabiania. Sprawdź sen, RPE i ból.</x:v>
      </x:c>
      <x:c r="G254" s="72" t="str">
        <x:v>WOLNE</x:v>
      </x:c>
      <x:c r="H254" s="72" t="str">
        <x:v>Adaptacja</x:v>
      </x:c>
      <x:c r="I254" s="72" t="str">
        <x:v>Normalne śniadanie, bez wymuszonego ładowania.</x:v>
      </x:c>
      <x:c r="J254" s="72" t="str">
        <x:v>Warzywa + białko + spokojna porcja węgli.</x:v>
      </x:c>
      <x:c r="K254" s="72" t="str">
        <x:v>Lekko, prosto, sen ważniejszy niż idealne makro.</x:v>
      </x:c>
      <x:c r="L254" s="72"/>
      <x:c r="M254" s="72"/>
      <x:c r="N254" s="72"/>
      <x:c r="O254" s="72"/>
      <x:c r="P254" s="72"/>
      <x:c r="Q254" s="72" t="str">
        <x:v>Nie nadrabiaj zaległości. Regeneracja jest częścią planu.</x:v>
      </x:c>
      <x:c r="V254" s="227"/>
      <x:c r="W254" s="228"/>
      <x:c r="X254" s="226"/>
      <x:c r="Y254" s="229"/>
      <x:c r="Z254" s="227"/>
      <x:c r="AA254" s="226" t="str">
        <x:f>IF(AND(L254="",M254="",N254="",Z254=""),"",IF(OR(M254&gt;=5,N254&lt;6,L254&gt;=8),"CZERWONY",IF(OR(M254&gt;=3,N254&lt;6.5,L254&gt;=7,Z254&lt;=4),"ŻÓŁTY","OK")))</x:f>
      </x:c>
      <x:c r="AB254" s="226" t="str">
        <x:f>IF(AA254="","",IF(AA254="OK","Realizuj plan normalnie.",IF(AA254="ŻÓŁTY","Skróć 10-30% albo zamień akcent na easy.", "STOP mocne bodźce: wolne/basen/Tacx Z1 48-72 h.")))</x:f>
      </x:c>
    </x:row>
    <x:row r="255">
      <x:c r="A255" s="53" t="n">
        <x:v>46529</x:v>
      </x:c>
      <x:c r="B255" s="54" t="str">
        <x:v>Sobota</x:v>
      </x:c>
      <x:c r="C255" s="54" t="str">
        <x:v>Tydzień 36 (Specyficzna 70.3)</x:v>
      </x:c>
      <x:c r="D255" s="54" t="str">
        <x:v>Race pace, open water, symulacje startowe</x:v>
      </x:c>
      <x:c r="E255" s="54" t="str">
        <x:v>Rower długi + T2 specyficzna</x:v>
      </x:c>
      <x:c r="F255" s="54" t="str">
        <x:v>190 min: większość Z2, 2-3 bloki race pace/aero + 8 km biegu od razu po rowerze. Paliwo 70-90 g węgli/h.</x:v>
      </x:c>
      <x:c r="G255" s="54" t="str">
        <x:v>LONG</x:v>
      </x:c>
      <x:c r="H255" s="54" t="str">
        <x:v>Symulacja 70.3</x:v>
      </x:c>
      <x:c r="I255" s="54" t="str">
        <x:v>3 h przed: sprawdzony posiłek węglowodanowy; bez nowych produktów.</x:v>
      </x:c>
      <x:c r="J255" s="54" t="str">
        <x:v>Po treningu: ryż/ziemniaki + białko + sól/elektrolity.</x:v>
      </x:c>
      <x:c r="K255" s="54" t="str">
        <x:v>Kolacja regeneracyjna: węgle + białko + warzywa; uzupełnij płyny.</x:v>
      </x:c>
      <x:c r="L255" s="54"/>
      <x:c r="M255" s="54"/>
      <x:c r="N255" s="54"/>
      <x:c r="O255" s="54"/>
      <x:c r="P255" s="54"/>
      <x:c r="Q255" s="54" t="str">
        <x:v>Jeśli ból narasta lub RPE &gt;7 przed połową: skróć, nie nadrabiaj kilometrów.</x:v>
      </x:c>
      <x:c r="V255" s="227"/>
      <x:c r="W255" s="228"/>
      <x:c r="X255" s="226"/>
      <x:c r="Y255" s="229"/>
      <x:c r="Z255" s="227"/>
      <x:c r="AA255" s="226" t="str">
        <x:f>IF(AND(L255="",M255="",N255="",Z255=""),"",IF(OR(M255&gt;=5,N255&lt;6,L255&gt;=8),"CZERWONY",IF(OR(M255&gt;=3,N255&lt;6.5,L255&gt;=7,Z255&lt;=4),"ŻÓŁTY","OK")))</x:f>
      </x:c>
      <x:c r="AB255" s="226" t="str">
        <x:f>IF(AA255="","",IF(AA255="OK","Realizuj plan normalnie.",IF(AA255="ŻÓŁTY","Skróć 10-30% albo zamień akcent na easy.", "STOP mocne bodźce: wolne/basen/Tacx Z1 48-72 h.")))</x:f>
      </x:c>
    </x:row>
    <x:row r="256">
      <x:c r="A256" s="53" t="n">
        <x:v>46530</x:v>
      </x:c>
      <x:c r="B256" s="54" t="str">
        <x:v>Niedziela</x:v>
      </x:c>
      <x:c r="C256" s="54" t="str">
        <x:v>Tydzień 36 (Specyficzna 70.3)</x:v>
      </x:c>
      <x:c r="D256" s="54" t="str">
        <x:v>Race pace, open water, symulacje startowe</x:v>
      </x:c>
      <x:c r="E256" s="54" t="str">
        <x:v>Bieg 70.3 kontrolowany</x:v>
      </x:c>
      <x:c r="F256" s="54" t="str">
        <x:v>18-20 km: większość easy, 6 km w tempie 70.3 4:55-5:05/km. Test żeli po rowerze sobotnim.</x:v>
      </x:c>
      <x:c r="G256" s="54" t="str">
        <x:v>LONG</x:v>
      </x:c>
      <x:c r="H256" s="54" t="str">
        <x:v>Race pace</x:v>
      </x:c>
      <x:c r="I256" s="54" t="str">
        <x:v>2-3 h przed: kleik/ryż/wafle + miód/dżem; mało tłuszczu i błonnika.</x:v>
      </x:c>
      <x:c r="J256" s="54" t="str">
        <x:v>Ryż/ziemniaki/kasza + lekkie białko + warzywa.</x:v>
      </x:c>
      <x:c r="K256" s="54" t="str">
        <x:v>Po: 20-35 g białka + węgle; elektrolity.</x:v>
      </x:c>
      <x:c r="L256" s="54"/>
      <x:c r="M256" s="54"/>
      <x:c r="N256" s="54"/>
      <x:c r="O256" s="54"/>
      <x:c r="P256" s="54"/>
      <x:c r="Q256" s="54" t="str">
        <x:v>Jeśli sobotni rower wszedł ciężko: skróć bieg o 30-50% albo zamień na 40 min easy/spacer.</x:v>
      </x:c>
      <x:c r="V256" s="227"/>
      <x:c r="W256" s="228"/>
      <x:c r="X256" s="226"/>
      <x:c r="Y256" s="229"/>
      <x:c r="Z256" s="227"/>
      <x:c r="AA256" s="226" t="str">
        <x:f>IF(AND(L256="",M256="",N256="",Z256=""),"",IF(OR(M256&gt;=5,N256&lt;6,L256&gt;=8),"CZERWONY",IF(OR(M256&gt;=3,N256&lt;6.5,L256&gt;=7,Z256&lt;=4),"ŻÓŁTY","OK")))</x:f>
      </x:c>
      <x:c r="AB256" s="226" t="str">
        <x:f>IF(AA256="","",IF(AA256="OK","Realizuj plan normalnie.",IF(AA256="ŻÓŁTY","Skróć 10-30% albo zamień akcent na easy.", "STOP mocne bodźce: wolne/basen/Tacx Z1 48-72 h.")))</x:f>
      </x:c>
    </x:row>
    <x:row r="257">
      <x:c r="A257" s="53" t="n">
        <x:v>46531</x:v>
      </x:c>
      <x:c r="B257" s="54" t="str">
        <x:v>Poniedziałek</x:v>
      </x:c>
      <x:c r="C257" s="54" t="str">
        <x:v>Tydzień 37 (Specyficzna 70.3)</x:v>
      </x:c>
      <x:c r="D257" s="54" t="str">
        <x:v>Race pace, open water, symulacje startowe</x:v>
      </x:c>
      <x:c r="E257" s="54" t="str">
        <x:v>Pływanie technika</x:v>
      </x:c>
      <x:c r="F257" s="54" t="str">
        <x:v>Basen 1800-2400 m: technika chwytu + 8x100 m spokojnie. Open water zostaje na czwartek/weekend.</x:v>
      </x:c>
      <x:c r="G257" s="54" t="str">
        <x:v>ŁATWY</x:v>
      </x:c>
      <x:c r="H257" s="54" t="str">
        <x:v>Technika</x:v>
      </x:c>
      <x:c r="I257" s="54" t="str">
        <x:v>Jajka lub jogurt/skyr + owoce; kawa spokojnie.</x:v>
      </x:c>
      <x:c r="J257" s="54" t="str">
        <x:v>Zupa/kasza/ryż + warzywa + białko; nawodnienie.</x:v>
      </x:c>
      <x:c r="K257" s="54" t="str">
        <x:v>Lekka kolacja: ryż/ziemniaki + ryba/tofu/jaja + warzywa.</x:v>
      </x:c>
      <x:c r="L257" s="54"/>
      <x:c r="M257" s="54"/>
      <x:c r="N257" s="54"/>
      <x:c r="O257" s="54"/>
      <x:c r="P257" s="54"/>
      <x:c r="Q257" s="54" t="str">
        <x:v>Jeśli nogi ciężkie: skróć o 20-30% i trzymaj Z1/Z2.</x:v>
      </x:c>
      <x:c r="V257" s="227"/>
      <x:c r="W257" s="228"/>
      <x:c r="X257" s="226"/>
      <x:c r="Y257" s="229"/>
      <x:c r="Z257" s="227"/>
      <x:c r="AA257" s="226" t="str">
        <x:f>IF(AND(L257="",M257="",N257="",Z257=""),"",IF(OR(M257&gt;=5,N257&lt;6,L257&gt;=8),"CZERWONY",IF(OR(M257&gt;=3,N257&lt;6.5,L257&gt;=7,Z257&lt;=4),"ŻÓŁTY","OK")))</x:f>
      </x:c>
      <x:c r="AB257" s="226" t="str">
        <x:f>IF(AA257="","",IF(AA257="OK","Realizuj plan normalnie.",IF(AA257="ŻÓŁTY","Skróć 10-30% albo zamień akcent na easy.", "STOP mocne bodźce: wolne/basen/Tacx Z1 48-72 h.")))</x:f>
      </x:c>
    </x:row>
    <x:row r="258">
      <x:c r="A258" s="53" t="n">
        <x:v>46532</x:v>
      </x:c>
      <x:c r="B258" s="54" t="str">
        <x:v>Wtorek</x:v>
      </x:c>
      <x:c r="C258" s="54" t="str">
        <x:v>Tydzień 37 (Specyficzna 70.3)</x:v>
      </x:c>
      <x:c r="D258" s="54" t="str">
        <x:v>Race pace, open water, symulacje startowe</x:v>
      </x:c>
      <x:c r="E258" s="54" t="str">
        <x:v>Bieg race pace</x:v>
      </x:c>
      <x:c r="F258" s="54" t="str">
        <x:v>10-16 km: 6-10 km w tempie 70.3 4:55-5:05/km. Nie szybciej niż plan.</x:v>
      </x:c>
      <x:c r="G258" s="54" t="str">
        <x:v>MP/RACE PACE</x:v>
      </x:c>
      <x:c r="H258" s="54" t="str">
        <x:v>Specyfika 70.3</x:v>
      </x:c>
      <x:c r="I258" s="54" t="str">
        <x:v>2-3 h przed: kleik/ryż/wafle + miód/dżem; mało tłuszczu i błonnika.</x:v>
      </x:c>
      <x:c r="J258" s="54" t="str">
        <x:v>Ryż/ziemniaki/kasza + lekkie białko + warzywa.</x:v>
      </x:c>
      <x:c r="K258" s="54" t="str">
        <x:v>Po: 20-35 g białka + węgle; elektrolity.</x:v>
      </x:c>
      <x:c r="L258" s="54"/>
      <x:c r="M258" s="54"/>
      <x:c r="N258" s="54"/>
      <x:c r="O258" s="54"/>
      <x:c r="P258" s="54"/>
      <x:c r="Q258" s="54" t="str">
        <x:v>Jeśli ból ≥3/10 lub sen &lt;6 h: zamień na easy 30-45 min albo basen.</x:v>
      </x:c>
      <x:c r="V258" s="227"/>
      <x:c r="W258" s="228"/>
      <x:c r="X258" s="226"/>
      <x:c r="Y258" s="229"/>
      <x:c r="Z258" s="227"/>
      <x:c r="AA258" s="226" t="str">
        <x:f>IF(AND(L258="",M258="",N258="",Z258=""),"",IF(OR(M258&gt;=5,N258&lt;6,L258&gt;=8),"CZERWONY",IF(OR(M258&gt;=3,N258&lt;6.5,L258&gt;=7,Z258&lt;=4),"ŻÓŁTY","OK")))</x:f>
      </x:c>
      <x:c r="AB258" s="226" t="str">
        <x:f>IF(AA258="","",IF(AA258="OK","Realizuj plan normalnie.",IF(AA258="ŻÓŁTY","Skróć 10-30% albo zamień akcent na easy.", "STOP mocne bodźce: wolne/basen/Tacx Z1 48-72 h.")))</x:f>
      </x:c>
    </x:row>
    <x:row r="259">
      <x:c r="A259" s="53" t="n">
        <x:v>46533</x:v>
      </x:c>
      <x:c r="B259" s="54" t="str">
        <x:v>Środa</x:v>
      </x:c>
      <x:c r="C259" s="54" t="str">
        <x:v>Tydzień 37 (Specyficzna 70.3)</x:v>
      </x:c>
      <x:c r="D259" s="54" t="str">
        <x:v>Race pace, open water, symulacje startowe</x:v>
      </x:c>
      <x:c r="E259" s="54" t="str">
        <x:v>Rower race pace</x:v>
      </x:c>
      <x:c r="F259" s="54" t="str">
        <x:v>75-105 min: 2x20-30 min w mocy 70.3 po aktualnym FTP. Aero/pozycja jeśli możliwe.</x:v>
      </x:c>
      <x:c r="G259" s="54" t="str">
        <x:v>MP/RACE PACE</x:v>
      </x:c>
      <x:c r="H259" s="54" t="str">
        <x:v>Moc startowa</x:v>
      </x:c>
      <x:c r="I259" s="54" t="str">
        <x:v>2-3 h przed: kleik/ryż/wafle + miód/dżem; mało tłuszczu i błonnika.</x:v>
      </x:c>
      <x:c r="J259" s="54" t="str">
        <x:v>Ryż/ziemniaki/kasza + lekkie białko + warzywa.</x:v>
      </x:c>
      <x:c r="K259" s="54" t="str">
        <x:v>Po: 20-35 g białka + węgle; elektrolity.</x:v>
      </x:c>
      <x:c r="L259" s="54"/>
      <x:c r="M259" s="54"/>
      <x:c r="N259" s="54"/>
      <x:c r="O259" s="54"/>
      <x:c r="P259" s="54"/>
      <x:c r="Q259" s="54" t="str">
        <x:v>Jeśli ból ≥3/10 lub sen &lt;6 h: zamień na easy 30-45 min albo basen.</x:v>
      </x:c>
      <x:c r="V259" s="227"/>
      <x:c r="W259" s="228"/>
      <x:c r="X259" s="226"/>
      <x:c r="Y259" s="229"/>
      <x:c r="Z259" s="227"/>
      <x:c r="AA259" s="226" t="str">
        <x:f>IF(AND(L259="",M259="",N259="",Z259=""),"",IF(OR(M259&gt;=5,N259&lt;6,L259&gt;=8),"CZERWONY",IF(OR(M259&gt;=3,N259&lt;6.5,L259&gt;=7,Z259&lt;=4),"ŻÓŁTY","OK")))</x:f>
      </x:c>
      <x:c r="AB259" s="226" t="str">
        <x:f>IF(AA259="","",IF(AA259="OK","Realizuj plan normalnie.",IF(AA259="ŻÓŁTY","Skróć 10-30% albo zamień akcent na easy.", "STOP mocne bodźce: wolne/basen/Tacx Z1 48-72 h.")))</x:f>
      </x:c>
    </x:row>
    <x:row r="260">
      <x:c r="A260" s="53" t="n">
        <x:v>46534</x:v>
      </x:c>
      <x:c r="B260" s="54" t="str">
        <x:v>Czwartek</x:v>
      </x:c>
      <x:c r="C260" s="54" t="str">
        <x:v>Tydzień 37 (Specyficzna 70.3)</x:v>
      </x:c>
      <x:c r="D260" s="54" t="str">
        <x:v>Race pace, open water, symulacje startowe</x:v>
      </x:c>
      <x:c r="E260" s="54" t="str">
        <x:v>Bieg easy + OPEN WATER</x:v>
      </x:c>
      <x:c r="F260" s="54" t="str">
        <x:v>RANO: 6-10 km easy. WIECZÓR: OPEN WATER 30-50 min: nawigacja, start, nawroty, płynięcie w kontakcie. Co 2-3 tygodnie 1500-1900 m ciągiem.</x:v>
      </x:c>
      <x:c r="G260" s="54" t="str">
        <x:v>ŁATWY</x:v>
      </x:c>
      <x:c r="H260" s="54" t="str">
        <x:v>Adaptacja open water</x:v>
      </x:c>
      <x:c r="I260" s="54" t="str">
        <x:v>Jajka lub jogurt/skyr + owoce; kawa spokojnie.</x:v>
      </x:c>
      <x:c r="J260" s="54" t="str">
        <x:v>Zupa/kasza/ryż + warzywa + białko; nawodnienie.</x:v>
      </x:c>
      <x:c r="K260" s="54" t="str">
        <x:v>Lekka kolacja: ryż/ziemniaki + ryba/tofu/jaja + warzywa.</x:v>
      </x:c>
      <x:c r="L260" s="54"/>
      <x:c r="M260" s="54"/>
      <x:c r="N260" s="54"/>
      <x:c r="O260" s="54"/>
      <x:c r="P260" s="54"/>
      <x:c r="Q260" s="54" t="str">
        <x:v>Jeśli technika się sypie: skróć odcinki, wydłuż przerwy, nie dokładaj metrów.</x:v>
      </x:c>
      <x:c r="V260" s="227"/>
      <x:c r="W260" s="228"/>
      <x:c r="X260" s="226"/>
      <x:c r="Y260" s="229"/>
      <x:c r="Z260" s="227"/>
      <x:c r="AA260" s="226" t="str">
        <x:f>IF(AND(L260="",M260="",N260="",Z260=""),"",IF(OR(M260&gt;=5,N260&lt;6,L260&gt;=8),"CZERWONY",IF(OR(M260&gt;=3,N260&lt;6.5,L260&gt;=7,Z260&lt;=4),"ŻÓŁTY","OK")))</x:f>
      </x:c>
      <x:c r="AB260" s="226" t="str">
        <x:f>IF(AA260="","",IF(AA260="OK","Realizuj plan normalnie.",IF(AA260="ŻÓŁTY","Skróć 10-30% albo zamień akcent na easy.", "STOP mocne bodźce: wolne/basen/Tacx Z1 48-72 h.")))</x:f>
      </x:c>
    </x:row>
    <x:row r="261">
      <x:c r="A261" s="71" t="n">
        <x:v>46535</x:v>
      </x:c>
      <x:c r="B261" s="72" t="str">
        <x:v>Piątek</x:v>
      </x:c>
      <x:c r="C261" s="72" t="str">
        <x:v>Tydzień 37 (Specyficzna 70.3)</x:v>
      </x:c>
      <x:c r="D261" s="72" t="str">
        <x:v>Race pace, open water, symulacje startowe</x:v>
      </x:c>
      <x:c r="E261" s="72" t="str">
        <x:v>WOLNE</x:v>
      </x:c>
      <x:c r="F261" s="72" t="str">
        <x:v>Pełna regeneracja. Zero nadrabiania. Sprawdź sen, RPE i ból.</x:v>
      </x:c>
      <x:c r="G261" s="72" t="str">
        <x:v>WOLNE</x:v>
      </x:c>
      <x:c r="H261" s="72" t="str">
        <x:v>Adaptacja</x:v>
      </x:c>
      <x:c r="I261" s="72" t="str">
        <x:v>Normalne śniadanie, bez wymuszonego ładowania.</x:v>
      </x:c>
      <x:c r="J261" s="72" t="str">
        <x:v>Warzywa + białko + spokojna porcja węgli.</x:v>
      </x:c>
      <x:c r="K261" s="72" t="str">
        <x:v>Lekko, prosto, sen ważniejszy niż idealne makro.</x:v>
      </x:c>
      <x:c r="L261" s="72"/>
      <x:c r="M261" s="72"/>
      <x:c r="N261" s="72"/>
      <x:c r="O261" s="72"/>
      <x:c r="P261" s="72"/>
      <x:c r="Q261" s="72" t="str">
        <x:v>Nie nadrabiaj zaległości. Regeneracja jest częścią planu.</x:v>
      </x:c>
      <x:c r="V261" s="227"/>
      <x:c r="W261" s="228"/>
      <x:c r="X261" s="226"/>
      <x:c r="Y261" s="229"/>
      <x:c r="Z261" s="227"/>
      <x:c r="AA261" s="226" t="str">
        <x:f>IF(AND(L261="",M261="",N261="",Z261=""),"",IF(OR(M261&gt;=5,N261&lt;6,L261&gt;=8),"CZERWONY",IF(OR(M261&gt;=3,N261&lt;6.5,L261&gt;=7,Z261&lt;=4),"ŻÓŁTY","OK")))</x:f>
      </x:c>
      <x:c r="AB261" s="226" t="str">
        <x:f>IF(AA261="","",IF(AA261="OK","Realizuj plan normalnie.",IF(AA261="ŻÓŁTY","Skróć 10-30% albo zamień akcent na easy.", "STOP mocne bodźce: wolne/basen/Tacx Z1 48-72 h.")))</x:f>
      </x:c>
    </x:row>
    <x:row r="262">
      <x:c r="A262" s="53" t="n">
        <x:v>46536</x:v>
      </x:c>
      <x:c r="B262" s="54" t="str">
        <x:v>Sobota</x:v>
      </x:c>
      <x:c r="C262" s="54" t="str">
        <x:v>Tydzień 37 (Specyficzna 70.3)</x:v>
      </x:c>
      <x:c r="D262" s="54" t="str">
        <x:v>Race pace, open water, symulacje startowe</x:v>
      </x:c>
      <x:c r="E262" s="54" t="str">
        <x:v>Rower długi + T2 specyficzna</x:v>
      </x:c>
      <x:c r="F262" s="54" t="str">
        <x:v>220 min: większość Z2, 2-3 bloki race pace/aero + 10 km biegu od razu po rowerze. Paliwo 70-90 g węgli/h.</x:v>
      </x:c>
      <x:c r="G262" s="54" t="str">
        <x:v>LONG</x:v>
      </x:c>
      <x:c r="H262" s="54" t="str">
        <x:v>Symulacja 70.3</x:v>
      </x:c>
      <x:c r="I262" s="54" t="str">
        <x:v>3 h przed: sprawdzony posiłek węglowodanowy; bez nowych produktów.</x:v>
      </x:c>
      <x:c r="J262" s="54" t="str">
        <x:v>Po treningu: ryż/ziemniaki + białko + sól/elektrolity.</x:v>
      </x:c>
      <x:c r="K262" s="54" t="str">
        <x:v>Kolacja regeneracyjna: węgle + białko + warzywa; uzupełnij płyny.</x:v>
      </x:c>
      <x:c r="L262" s="54"/>
      <x:c r="M262" s="54"/>
      <x:c r="N262" s="54"/>
      <x:c r="O262" s="54"/>
      <x:c r="P262" s="54"/>
      <x:c r="Q262" s="54" t="str">
        <x:v>Jeśli ból narasta lub RPE &gt;7 przed połową: skróć, nie nadrabiaj kilometrów.</x:v>
      </x:c>
      <x:c r="V262" s="227"/>
      <x:c r="W262" s="228"/>
      <x:c r="X262" s="226"/>
      <x:c r="Y262" s="229"/>
      <x:c r="Z262" s="227"/>
      <x:c r="AA262" s="226" t="str">
        <x:f>IF(AND(L262="",M262="",N262="",Z262=""),"",IF(OR(M262&gt;=5,N262&lt;6,L262&gt;=8),"CZERWONY",IF(OR(M262&gt;=3,N262&lt;6.5,L262&gt;=7,Z262&lt;=4),"ŻÓŁTY","OK")))</x:f>
      </x:c>
      <x:c r="AB262" s="226" t="str">
        <x:f>IF(AA262="","",IF(AA262="OK","Realizuj plan normalnie.",IF(AA262="ŻÓŁTY","Skróć 10-30% albo zamień akcent na easy.", "STOP mocne bodźce: wolne/basen/Tacx Z1 48-72 h.")))</x:f>
      </x:c>
    </x:row>
    <x:row r="263">
      <x:c r="A263" s="53" t="n">
        <x:v>46537</x:v>
      </x:c>
      <x:c r="B263" s="54" t="str">
        <x:v>Niedziela</x:v>
      </x:c>
      <x:c r="C263" s="54" t="str">
        <x:v>Tydzień 37 (Specyficzna 70.3)</x:v>
      </x:c>
      <x:c r="D263" s="54" t="str">
        <x:v>Race pace, open water, symulacje startowe</x:v>
      </x:c>
      <x:c r="E263" s="54" t="str">
        <x:v>Bieg 70.3 kontrolowany</x:v>
      </x:c>
      <x:c r="F263" s="54" t="str">
        <x:v>20-22 km: 12 km easy + 2x4 km w tempie 70.3 / 1 km easy. Bez ścigania.</x:v>
      </x:c>
      <x:c r="G263" s="54" t="str">
        <x:v>LONG</x:v>
      </x:c>
      <x:c r="H263" s="54" t="str">
        <x:v>Race pace</x:v>
      </x:c>
      <x:c r="I263" s="54" t="str">
        <x:v>2-3 h przed: kleik/ryż/wafle + miód/dżem; mało tłuszczu i błonnika.</x:v>
      </x:c>
      <x:c r="J263" s="54" t="str">
        <x:v>Ryż/ziemniaki/kasza + lekkie białko + warzywa.</x:v>
      </x:c>
      <x:c r="K263" s="54" t="str">
        <x:v>Po: 20-35 g białka + węgle; elektrolity.</x:v>
      </x:c>
      <x:c r="L263" s="54"/>
      <x:c r="M263" s="54"/>
      <x:c r="N263" s="54"/>
      <x:c r="O263" s="54"/>
      <x:c r="P263" s="54"/>
      <x:c r="Q263" s="54" t="str">
        <x:v>Jeśli sobotni rower wszedł ciężko: skróć bieg o 30-50% albo zamień na 40 min easy/spacer.</x:v>
      </x:c>
      <x:c r="V263" s="227"/>
      <x:c r="W263" s="228"/>
      <x:c r="X263" s="226"/>
      <x:c r="Y263" s="229"/>
      <x:c r="Z263" s="227"/>
      <x:c r="AA263" s="226" t="str">
        <x:f>IF(AND(L263="",M263="",N263="",Z263=""),"",IF(OR(M263&gt;=5,N263&lt;6,L263&gt;=8),"CZERWONY",IF(OR(M263&gt;=3,N263&lt;6.5,L263&gt;=7,Z263&lt;=4),"ŻÓŁTY","OK")))</x:f>
      </x:c>
      <x:c r="AB263" s="226" t="str">
        <x:f>IF(AA263="","",IF(AA263="OK","Realizuj plan normalnie.",IF(AA263="ŻÓŁTY","Skróć 10-30% albo zamień akcent na easy.", "STOP mocne bodźce: wolne/basen/Tacx Z1 48-72 h.")))</x:f>
      </x:c>
    </x:row>
    <x:row r="264">
      <x:c r="A264" s="53" t="n">
        <x:v>46538</x:v>
      </x:c>
      <x:c r="B264" s="54" t="str">
        <x:v>Poniedziałek</x:v>
      </x:c>
      <x:c r="C264" s="54" t="str">
        <x:v>Tydzień 38 (Specyficzna 70.3)</x:v>
      </x:c>
      <x:c r="D264" s="54" t="str">
        <x:v>Race pace, open water, symulacje startowe</x:v>
      </x:c>
      <x:c r="E264" s="54" t="str">
        <x:v>Pływanie technika</x:v>
      </x:c>
      <x:c r="F264" s="54" t="str">
        <x:v>Basen 1800-2400 m: technika chwytu + 8x100 m spokojnie. Open water zostaje na czwartek/weekend.</x:v>
      </x:c>
      <x:c r="G264" s="54" t="str">
        <x:v>ŁATWY</x:v>
      </x:c>
      <x:c r="H264" s="54" t="str">
        <x:v>Technika</x:v>
      </x:c>
      <x:c r="I264" s="54" t="str">
        <x:v>Jajka lub jogurt/skyr + owoce; kawa spokojnie.</x:v>
      </x:c>
      <x:c r="J264" s="54" t="str">
        <x:v>Zupa/kasza/ryż + warzywa + białko; nawodnienie.</x:v>
      </x:c>
      <x:c r="K264" s="54" t="str">
        <x:v>Lekka kolacja: ryż/ziemniaki + ryba/tofu/jaja + warzywa.</x:v>
      </x:c>
      <x:c r="L264" s="54"/>
      <x:c r="M264" s="54"/>
      <x:c r="N264" s="54"/>
      <x:c r="O264" s="54"/>
      <x:c r="P264" s="54"/>
      <x:c r="Q264" s="54" t="str">
        <x:v>Jeśli nogi ciężkie: skróć o 20-30% i trzymaj Z1/Z2.</x:v>
      </x:c>
      <x:c r="V264" s="227"/>
      <x:c r="W264" s="228"/>
      <x:c r="X264" s="226"/>
      <x:c r="Y264" s="229"/>
      <x:c r="Z264" s="227"/>
      <x:c r="AA264" s="226" t="str">
        <x:f>IF(AND(L264="",M264="",N264="",Z264=""),"",IF(OR(M264&gt;=5,N264&lt;6,L264&gt;=8),"CZERWONY",IF(OR(M264&gt;=3,N264&lt;6.5,L264&gt;=7,Z264&lt;=4),"ŻÓŁTY","OK")))</x:f>
      </x:c>
      <x:c r="AB264" s="226" t="str">
        <x:f>IF(AA264="","",IF(AA264="OK","Realizuj plan normalnie.",IF(AA264="ŻÓŁTY","Skróć 10-30% albo zamień akcent na easy.", "STOP mocne bodźce: wolne/basen/Tacx Z1 48-72 h.")))</x:f>
      </x:c>
    </x:row>
    <x:row r="265" ht="26" customHeight="1">
      <x:c r="A265" s="148" t="n">
        <x:v>46539</x:v>
      </x:c>
      <x:c r="B265" s="149" t="str">
        <x:v>Wtorek</x:v>
      </x:c>
      <x:c r="C265" s="149" t="str">
        <x:v>Tydzień 38 (Specyficzna 70.3)</x:v>
      </x:c>
      <x:c r="D265" s="154" t="str">
        <x:v>Race pace, open water, symulacje startowe</x:v>
      </x:c>
      <x:c r="E265" s="154" t="str">
        <x:v>Bieg race pace</x:v>
      </x:c>
      <x:c r="F265" s="154" t="str">
        <x:v>10-16 km: 6-10 km w tempie 70.3 4:55-5:05/km. Nie szybciej niż plan.</x:v>
      </x:c>
      <x:c r="G265" s="154" t="str">
        <x:v>MP/RACE PACE</x:v>
      </x:c>
      <x:c r="H265" s="154" t="str">
        <x:v>Specyfika 70.3</x:v>
      </x:c>
      <x:c r="I265" s="154" t="str">
        <x:v>2-3 h przed: kleik/ryż/wafle + miód/dżem; mało tłuszczu i błonnika.</x:v>
      </x:c>
      <x:c r="J265" s="154" t="str">
        <x:v>Ryż/ziemniaki/kasza + lekkie białko + warzywa.</x:v>
      </x:c>
      <x:c r="K265" s="154" t="str">
        <x:v>Po: 20-35 g białka + węgle; elektrolity.</x:v>
      </x:c>
      <x:c r="L265" s="154"/>
      <x:c r="M265" s="154"/>
      <x:c r="N265" s="154"/>
      <x:c r="O265" s="154"/>
      <x:c r="P265" s="154"/>
      <x:c r="Q265" s="154" t="str">
        <x:v>Jeśli ból ≥3/10 lub sen &lt;6 h: zamień na easy 30-45 min albo basen.</x:v>
      </x:c>
      <x:c r="R265" s="136" t="str">
        <x:v>CZERWIEC 2027</x:v>
      </x:c>
      <x:c r="V265" s="227"/>
      <x:c r="W265" s="228"/>
      <x:c r="X265" s="226"/>
      <x:c r="Y265" s="229"/>
      <x:c r="Z265" s="227"/>
      <x:c r="AA265" s="226" t="str">
        <x:f>IF(AND(L265="",M265="",N265="",Z265=""),"",IF(OR(M265&gt;=5,N265&lt;6,L265&gt;=8),"CZERWONY",IF(OR(M265&gt;=3,N265&lt;6.5,L265&gt;=7,Z265&lt;=4),"ŻÓŁTY","OK")))</x:f>
      </x:c>
      <x:c r="AB265" s="226" t="str">
        <x:f>IF(AA265="","",IF(AA265="OK","Realizuj plan normalnie.",IF(AA265="ŻÓŁTY","Skróć 10-30% albo zamień akcent na easy.", "STOP mocne bodźce: wolne/basen/Tacx Z1 48-72 h.")))</x:f>
      </x:c>
    </x:row>
    <x:row r="266">
      <x:c r="A266" s="53" t="n">
        <x:v>46540</x:v>
      </x:c>
      <x:c r="B266" s="54" t="str">
        <x:v>Środa</x:v>
      </x:c>
      <x:c r="C266" s="54" t="str">
        <x:v>Tydzień 38 (Specyficzna 70.3)</x:v>
      </x:c>
      <x:c r="D266" s="54" t="str">
        <x:v>Race pace, open water, symulacje startowe</x:v>
      </x:c>
      <x:c r="E266" s="54" t="str">
        <x:v>Rower race pace</x:v>
      </x:c>
      <x:c r="F266" s="54" t="str">
        <x:v>75-105 min: 2x20-30 min w mocy 70.3 po aktualnym FTP. Aero/pozycja jeśli możliwe.</x:v>
      </x:c>
      <x:c r="G266" s="54" t="str">
        <x:v>MP/RACE PACE</x:v>
      </x:c>
      <x:c r="H266" s="54" t="str">
        <x:v>Moc startowa</x:v>
      </x:c>
      <x:c r="I266" s="54" t="str">
        <x:v>2-3 h przed: kleik/ryż/wafle + miód/dżem; mało tłuszczu i błonnika.</x:v>
      </x:c>
      <x:c r="J266" s="54" t="str">
        <x:v>Ryż/ziemniaki/kasza + lekkie białko + warzywa.</x:v>
      </x:c>
      <x:c r="K266" s="54" t="str">
        <x:v>Po: 20-35 g białka + węgle; elektrolity.</x:v>
      </x:c>
      <x:c r="L266" s="54"/>
      <x:c r="M266" s="54"/>
      <x:c r="N266" s="54"/>
      <x:c r="O266" s="54"/>
      <x:c r="P266" s="54"/>
      <x:c r="Q266" s="54" t="str">
        <x:v>Jeśli ból ≥3/10 lub sen &lt;6 h: zamień na easy 30-45 min albo basen.</x:v>
      </x:c>
      <x:c r="V266" s="227"/>
      <x:c r="W266" s="228"/>
      <x:c r="X266" s="226"/>
      <x:c r="Y266" s="229"/>
      <x:c r="Z266" s="227"/>
      <x:c r="AA266" s="226" t="str">
        <x:f>IF(AND(L266="",M266="",N266="",Z266=""),"",IF(OR(M266&gt;=5,N266&lt;6,L266&gt;=8),"CZERWONY",IF(OR(M266&gt;=3,N266&lt;6.5,L266&gt;=7,Z266&lt;=4),"ŻÓŁTY","OK")))</x:f>
      </x:c>
      <x:c r="AB266" s="226" t="str">
        <x:f>IF(AA266="","",IF(AA266="OK","Realizuj plan normalnie.",IF(AA266="ŻÓŁTY","Skróć 10-30% albo zamień akcent na easy.", "STOP mocne bodźce: wolne/basen/Tacx Z1 48-72 h.")))</x:f>
      </x:c>
    </x:row>
    <x:row r="267">
      <x:c r="A267" s="53" t="n">
        <x:v>46541</x:v>
      </x:c>
      <x:c r="B267" s="54" t="str">
        <x:v>Czwartek</x:v>
      </x:c>
      <x:c r="C267" s="54" t="str">
        <x:v>Tydzień 38 (Specyficzna 70.3)</x:v>
      </x:c>
      <x:c r="D267" s="54" t="str">
        <x:v>Race pace, open water, symulacje startowe</x:v>
      </x:c>
      <x:c r="E267" s="54" t="str">
        <x:v>Bieg easy + OPEN WATER</x:v>
      </x:c>
      <x:c r="F267" s="54" t="str">
        <x:v>RANO: 6-10 km easy. WIECZÓR: OPEN WATER 30-50 min: nawigacja, start, nawroty, płynięcie w kontakcie. Co 2-3 tygodnie 1500-1900 m ciągiem.</x:v>
      </x:c>
      <x:c r="G267" s="54" t="str">
        <x:v>ŁATWY</x:v>
      </x:c>
      <x:c r="H267" s="54" t="str">
        <x:v>Adaptacja open water</x:v>
      </x:c>
      <x:c r="I267" s="54" t="str">
        <x:v>Jajka lub jogurt/skyr + owoce; kawa spokojnie.</x:v>
      </x:c>
      <x:c r="J267" s="54" t="str">
        <x:v>Zupa/kasza/ryż + warzywa + białko; nawodnienie.</x:v>
      </x:c>
      <x:c r="K267" s="54" t="str">
        <x:v>Lekka kolacja: ryż/ziemniaki + ryba/tofu/jaja + warzywa.</x:v>
      </x:c>
      <x:c r="L267" s="54"/>
      <x:c r="M267" s="54"/>
      <x:c r="N267" s="54"/>
      <x:c r="O267" s="54"/>
      <x:c r="P267" s="54"/>
      <x:c r="Q267" s="54" t="str">
        <x:v>Jeśli technika się sypie: skróć odcinki, wydłuż przerwy, nie dokładaj metrów.</x:v>
      </x:c>
      <x:c r="V267" s="227"/>
      <x:c r="W267" s="228"/>
      <x:c r="X267" s="226"/>
      <x:c r="Y267" s="229"/>
      <x:c r="Z267" s="227"/>
      <x:c r="AA267" s="226" t="str">
        <x:f>IF(AND(L267="",M267="",N267="",Z267=""),"",IF(OR(M267&gt;=5,N267&lt;6,L267&gt;=8),"CZERWONY",IF(OR(M267&gt;=3,N267&lt;6.5,L267&gt;=7,Z267&lt;=4),"ŻÓŁTY","OK")))</x:f>
      </x:c>
      <x:c r="AB267" s="226" t="str">
        <x:f>IF(AA267="","",IF(AA267="OK","Realizuj plan normalnie.",IF(AA267="ŻÓŁTY","Skróć 10-30% albo zamień akcent na easy.", "STOP mocne bodźce: wolne/basen/Tacx Z1 48-72 h.")))</x:f>
      </x:c>
    </x:row>
    <x:row r="268">
      <x:c r="A268" s="71" t="n">
        <x:v>46542</x:v>
      </x:c>
      <x:c r="B268" s="72" t="str">
        <x:v>Piątek</x:v>
      </x:c>
      <x:c r="C268" s="72" t="str">
        <x:v>Tydzień 38 (Specyficzna 70.3)</x:v>
      </x:c>
      <x:c r="D268" s="72" t="str">
        <x:v>Race pace, open water, symulacje startowe</x:v>
      </x:c>
      <x:c r="E268" s="72" t="str">
        <x:v>WOLNE</x:v>
      </x:c>
      <x:c r="F268" s="72" t="str">
        <x:v>Pełna regeneracja. Zero nadrabiania. Sprawdź sen, RPE i ból.</x:v>
      </x:c>
      <x:c r="G268" s="72" t="str">
        <x:v>WOLNE</x:v>
      </x:c>
      <x:c r="H268" s="72" t="str">
        <x:v>Adaptacja</x:v>
      </x:c>
      <x:c r="I268" s="72" t="str">
        <x:v>Normalne śniadanie, bez wymuszonego ładowania.</x:v>
      </x:c>
      <x:c r="J268" s="72" t="str">
        <x:v>Warzywa + białko + spokojna porcja węgli.</x:v>
      </x:c>
      <x:c r="K268" s="72" t="str">
        <x:v>Lekko, prosto, sen ważniejszy niż idealne makro.</x:v>
      </x:c>
      <x:c r="L268" s="72"/>
      <x:c r="M268" s="72"/>
      <x:c r="N268" s="72"/>
      <x:c r="O268" s="72"/>
      <x:c r="P268" s="72"/>
      <x:c r="Q268" s="72" t="str">
        <x:v>Nie nadrabiaj zaległości. Regeneracja jest częścią planu.</x:v>
      </x:c>
      <x:c r="V268" s="227"/>
      <x:c r="W268" s="228"/>
      <x:c r="X268" s="226"/>
      <x:c r="Y268" s="229"/>
      <x:c r="Z268" s="227"/>
      <x:c r="AA268" s="226" t="str">
        <x:f>IF(AND(L268="",M268="",N268="",Z268=""),"",IF(OR(M268&gt;=5,N268&lt;6,L268&gt;=8),"CZERWONY",IF(OR(M268&gt;=3,N268&lt;6.5,L268&gt;=7,Z268&lt;=4),"ŻÓŁTY","OK")))</x:f>
      </x:c>
      <x:c r="AB268" s="226" t="str">
        <x:f>IF(AA268="","",IF(AA268="OK","Realizuj plan normalnie.",IF(AA268="ŻÓŁTY","Skróć 10-30% albo zamień akcent na easy.", "STOP mocne bodźce: wolne/basen/Tacx Z1 48-72 h.")))</x:f>
      </x:c>
    </x:row>
    <x:row r="269">
      <x:c r="A269" s="53" t="n">
        <x:v>46543</x:v>
      </x:c>
      <x:c r="B269" s="54" t="str">
        <x:v>Sobota</x:v>
      </x:c>
      <x:c r="C269" s="54" t="str">
        <x:v>Tydzień 38 (Specyficzna 70.3)</x:v>
      </x:c>
      <x:c r="D269" s="54" t="str">
        <x:v>Race pace, open water, symulacje startowe</x:v>
      </x:c>
      <x:c r="E269" s="54" t="str">
        <x:v>Rower długi + T2 specyficzna</x:v>
      </x:c>
      <x:c r="F269" s="54" t="str">
        <x:v>220 min: Z2 + 3x20 min race pace/aero, pełny test paliwa + 10 km T2. Twardy cap roweru: max 210-220 min; jakość &gt; objętość. Paliwo 70-90 g węgli/h.</x:v>
      </x:c>
      <x:c r="G269" s="54" t="str">
        <x:v>LONG</x:v>
      </x:c>
      <x:c r="H269" s="54" t="str">
        <x:v>Rower + adaptacja T2</x:v>
      </x:c>
      <x:c r="I269" s="54" t="str">
        <x:v>3 h przed: sprawdzony posiłek węglowodanowy; bez nowych produktów.</x:v>
      </x:c>
      <x:c r="J269" s="54" t="str">
        <x:v>Po treningu: ryż/ziemniaki + białko + sól/elektrolity.</x:v>
      </x:c>
      <x:c r="K269" s="54" t="str">
        <x:v>Kolacja regeneracyjna: węgle + białko + warzywa; uzupełnij płyny.</x:v>
      </x:c>
      <x:c r="L269" s="54"/>
      <x:c r="M269" s="54"/>
      <x:c r="N269" s="54"/>
      <x:c r="O269" s="54"/>
      <x:c r="P269" s="54"/>
      <x:c r="Q269" s="54" t="str">
        <x:v>Jeśli RPE &gt;7, ból narasta lub paliwo nie wchodzi: skróć T2, nie wydłużaj roweru.</x:v>
      </x:c>
      <x:c r="V269" s="227"/>
      <x:c r="W269" s="228"/>
      <x:c r="X269" s="226"/>
      <x:c r="Y269" s="229"/>
      <x:c r="Z269" s="227"/>
      <x:c r="AA269" s="226" t="str">
        <x:f>IF(AND(L269="",M269="",N269="",Z269=""),"",IF(OR(M269&gt;=5,N269&lt;6,L269&gt;=8),"CZERWONY",IF(OR(M269&gt;=3,N269&lt;6.5,L269&gt;=7,Z269&lt;=4),"ŻÓŁTY","OK")))</x:f>
      </x:c>
      <x:c r="AB269" s="226" t="str">
        <x:f>IF(AA269="","",IF(AA269="OK","Realizuj plan normalnie.",IF(AA269="ŻÓŁTY","Skróć 10-30% albo zamień akcent na easy.", "STOP mocne bodźce: wolne/basen/Tacx Z1 48-72 h.")))</x:f>
      </x:c>
    </x:row>
    <x:row r="270">
      <x:c r="A270" s="53" t="n">
        <x:v>46544</x:v>
      </x:c>
      <x:c r="B270" s="54" t="str">
        <x:v>Niedziela</x:v>
      </x:c>
      <x:c r="C270" s="54" t="str">
        <x:v>Tydzień 38 (Specyficzna 70.3)</x:v>
      </x:c>
      <x:c r="D270" s="54" t="str">
        <x:v>Race pace, open water, symulacje startowe</x:v>
      </x:c>
      <x:c r="E270" s="54" t="str">
        <x:v>Bieg kluczowy 70.3</x:v>
      </x:c>
      <x:c r="F270" s="54" t="str">
        <x:v>22 km: 10 km easy + 8 km w tempie 70.3 + 4 km easy. Drugi kluczowy run.</x:v>
      </x:c>
      <x:c r="G270" s="54" t="str">
        <x:v>LONG</x:v>
      </x:c>
      <x:c r="H270" s="54" t="str">
        <x:v>Specyfika 70.3</x:v>
      </x:c>
      <x:c r="I270" s="54" t="str">
        <x:v>2-3 h przed: kleik/ryż/wafle + miód/dżem; mało tłuszczu i błonnika.</x:v>
      </x:c>
      <x:c r="J270" s="54" t="str">
        <x:v>Ryż/ziemniaki/kasza + lekkie białko + warzywa.</x:v>
      </x:c>
      <x:c r="K270" s="54" t="str">
        <x:v>Po: 20-35 g białka + węgle; elektrolity.</x:v>
      </x:c>
      <x:c r="L270" s="54"/>
      <x:c r="M270" s="54"/>
      <x:c r="N270" s="54"/>
      <x:c r="O270" s="54"/>
      <x:c r="P270" s="54"/>
      <x:c r="Q270" s="54" t="str">
        <x:v>Jeśli sobotni rower wszedł ciężko: skróć bieg o 30-50% albo zamień na 40 min easy/spacer.</x:v>
      </x:c>
      <x:c r="V270" s="227"/>
      <x:c r="W270" s="228"/>
      <x:c r="X270" s="226"/>
      <x:c r="Y270" s="229"/>
      <x:c r="Z270" s="227"/>
      <x:c r="AA270" s="226" t="str">
        <x:f>IF(AND(L270="",M270="",N270="",Z270=""),"",IF(OR(M270&gt;=5,N270&lt;6,L270&gt;=8),"CZERWONY",IF(OR(M270&gt;=3,N270&lt;6.5,L270&gt;=7,Z270&lt;=4),"ŻÓŁTY","OK")))</x:f>
      </x:c>
      <x:c r="AB270" s="226" t="str">
        <x:f>IF(AA270="","",IF(AA270="OK","Realizuj plan normalnie.",IF(AA270="ŻÓŁTY","Skróć 10-30% albo zamień akcent na easy.", "STOP mocne bodźce: wolne/basen/Tacx Z1 48-72 h.")))</x:f>
      </x:c>
    </x:row>
    <x:row r="271">
      <x:c r="A271" s="53" t="n">
        <x:v>46545</x:v>
      </x:c>
      <x:c r="B271" s="54" t="str">
        <x:v>Poniedziałek</x:v>
      </x:c>
      <x:c r="C271" s="54" t="str">
        <x:v>Tydzień 39 (Specyficzna 70.3)</x:v>
      </x:c>
      <x:c r="D271" s="54" t="str">
        <x:v>Race pace, open water, symulacje startowe</x:v>
      </x:c>
      <x:c r="E271" s="54" t="str">
        <x:v>Pływanie technika</x:v>
      </x:c>
      <x:c r="F271" s="54" t="str">
        <x:v>Basen 1800-2400 m: technika chwytu + 8x100 m spokojnie. Open water zostaje na czwartek/weekend.</x:v>
      </x:c>
      <x:c r="G271" s="54" t="str">
        <x:v>ŁATWY</x:v>
      </x:c>
      <x:c r="H271" s="54" t="str">
        <x:v>Technika</x:v>
      </x:c>
      <x:c r="I271" s="54" t="str">
        <x:v>Jajka lub jogurt/skyr + owoce; kawa spokojnie.</x:v>
      </x:c>
      <x:c r="J271" s="54" t="str">
        <x:v>Zupa/kasza/ryż + warzywa + białko; nawodnienie.</x:v>
      </x:c>
      <x:c r="K271" s="54" t="str">
        <x:v>Lekka kolacja: ryż/ziemniaki + ryba/tofu/jaja + warzywa.</x:v>
      </x:c>
      <x:c r="L271" s="54"/>
      <x:c r="M271" s="54"/>
      <x:c r="N271" s="54"/>
      <x:c r="O271" s="54"/>
      <x:c r="P271" s="54"/>
      <x:c r="Q271" s="54" t="str">
        <x:v>Jeśli nogi ciężkie: skróć o 20-30% i trzymaj Z1/Z2.</x:v>
      </x:c>
      <x:c r="V271" s="227"/>
      <x:c r="W271" s="228"/>
      <x:c r="X271" s="226"/>
      <x:c r="Y271" s="229"/>
      <x:c r="Z271" s="227"/>
      <x:c r="AA271" s="226" t="str">
        <x:f>IF(AND(L271="",M271="",N271="",Z271=""),"",IF(OR(M271&gt;=5,N271&lt;6,L271&gt;=8),"CZERWONY",IF(OR(M271&gt;=3,N271&lt;6.5,L271&gt;=7,Z271&lt;=4),"ŻÓŁTY","OK")))</x:f>
      </x:c>
      <x:c r="AB271" s="226" t="str">
        <x:f>IF(AA271="","",IF(AA271="OK","Realizuj plan normalnie.",IF(AA271="ŻÓŁTY","Skróć 10-30% albo zamień akcent na easy.", "STOP mocne bodźce: wolne/basen/Tacx Z1 48-72 h.")))</x:f>
      </x:c>
    </x:row>
    <x:row r="272">
      <x:c r="A272" s="53" t="n">
        <x:v>46546</x:v>
      </x:c>
      <x:c r="B272" s="54" t="str">
        <x:v>Wtorek</x:v>
      </x:c>
      <x:c r="C272" s="54" t="str">
        <x:v>Tydzień 39 (Specyficzna 70.3)</x:v>
      </x:c>
      <x:c r="D272" s="54" t="str">
        <x:v>Race pace, open water, symulacje startowe</x:v>
      </x:c>
      <x:c r="E272" s="54" t="str">
        <x:v>Bieg easy + rytmy</x:v>
      </x:c>
      <x:c r="F272" s="54" t="str">
        <x:v>6-8 km easy + 4x20 s rytmy tylko jeśli świeżo. Tydzień lżejszy.</x:v>
      </x:c>
      <x:c r="G272" s="54" t="str">
        <x:v>REGENERACJA</x:v>
      </x:c>
      <x:c r="H272" s="54" t="str">
        <x:v>Odświeżenie</x:v>
      </x:c>
      <x:c r="I272" s="54" t="str">
        <x:v>Normalne śniadanie, bez wymuszonego ładowania.</x:v>
      </x:c>
      <x:c r="J272" s="54" t="str">
        <x:v>Warzywa + białko + spokojna porcja węgli.</x:v>
      </x:c>
      <x:c r="K272" s="54" t="str">
        <x:v>Lekko, prosto, sen ważniejszy niż idealne makro.</x:v>
      </x:c>
      <x:c r="L272" s="54"/>
      <x:c r="M272" s="54"/>
      <x:c r="N272" s="54"/>
      <x:c r="O272" s="54"/>
      <x:c r="P272" s="54"/>
      <x:c r="Q272" s="54" t="str">
        <x:v>Nie nadrabiaj zaległości. Regeneracja jest częścią planu.</x:v>
      </x:c>
      <x:c r="V272" s="227"/>
      <x:c r="W272" s="228"/>
      <x:c r="X272" s="226"/>
      <x:c r="Y272" s="229"/>
      <x:c r="Z272" s="227"/>
      <x:c r="AA272" s="226" t="str">
        <x:f>IF(AND(L272="",M272="",N272="",Z272=""),"",IF(OR(M272&gt;=5,N272&lt;6,L272&gt;=8),"CZERWONY",IF(OR(M272&gt;=3,N272&lt;6.5,L272&gt;=7,Z272&lt;=4),"ŻÓŁTY","OK")))</x:f>
      </x:c>
      <x:c r="AB272" s="226" t="str">
        <x:f>IF(AA272="","",IF(AA272="OK","Realizuj plan normalnie.",IF(AA272="ŻÓŁTY","Skróć 10-30% albo zamień akcent na easy.", "STOP mocne bodźce: wolne/basen/Tacx Z1 48-72 h.")))</x:f>
      </x:c>
    </x:row>
    <x:row r="273">
      <x:c r="A273" s="53" t="n">
        <x:v>46547</x:v>
      </x:c>
      <x:c r="B273" s="54" t="str">
        <x:v>Środa</x:v>
      </x:c>
      <x:c r="C273" s="54" t="str">
        <x:v>Tydzień 39 (Specyficzna 70.3)</x:v>
      </x:c>
      <x:c r="D273" s="54" t="str">
        <x:v>Race pace, open water, symulacje startowe</x:v>
      </x:c>
      <x:c r="E273" s="54" t="str">
        <x:v>Tacx regeneracyjny</x:v>
      </x:c>
      <x:c r="F273" s="54" t="str">
        <x:v>45-60 min Z1/Z2 135-165 W. STAŁY limit regeneracji: bez skalowania minut, bez sweet spot.</x:v>
      </x:c>
      <x:c r="G273" s="54" t="str">
        <x:v>REGENERACJA</x:v>
      </x:c>
      <x:c r="H273" s="54" t="str">
        <x:v>Odświeżenie</x:v>
      </x:c>
      <x:c r="I273" s="54" t="str">
        <x:v>Normalne śniadanie, bez wymuszonego ładowania.</x:v>
      </x:c>
      <x:c r="J273" s="54" t="str">
        <x:v>Warzywa + białko + spokojna porcja węgli.</x:v>
      </x:c>
      <x:c r="K273" s="54" t="str">
        <x:v>Lekko, prosto, sen ważniejszy niż idealne makro.</x:v>
      </x:c>
      <x:c r="L273" s="54"/>
      <x:c r="M273" s="54"/>
      <x:c r="N273" s="54"/>
      <x:c r="O273" s="54"/>
      <x:c r="P273" s="54"/>
      <x:c r="Q273" s="54" t="str">
        <x:v>Nie nadrabiaj zaległości. Regeneracja jest częścią planu.</x:v>
      </x:c>
      <x:c r="V273" s="227"/>
      <x:c r="W273" s="228"/>
      <x:c r="X273" s="226"/>
      <x:c r="Y273" s="229"/>
      <x:c r="Z273" s="227"/>
      <x:c r="AA273" s="226" t="str">
        <x:f>IF(AND(L273="",M273="",N273="",Z273=""),"",IF(OR(M273&gt;=5,N273&lt;6,L273&gt;=8),"CZERWONY",IF(OR(M273&gt;=3,N273&lt;6.5,L273&gt;=7,Z273&lt;=4),"ŻÓŁTY","OK")))</x:f>
      </x:c>
      <x:c r="AB273" s="226" t="str">
        <x:f>IF(AA273="","",IF(AA273="OK","Realizuj plan normalnie.",IF(AA273="ŻÓŁTY","Skróć 10-30% albo zamień akcent na easy.", "STOP mocne bodźce: wolne/basen/Tacx Z1 48-72 h.")))</x:f>
      </x:c>
    </x:row>
    <x:row r="274">
      <x:c r="A274" s="53" t="n">
        <x:v>46548</x:v>
      </x:c>
      <x:c r="B274" s="54" t="str">
        <x:v>Czwartek</x:v>
      </x:c>
      <x:c r="C274" s="54" t="str">
        <x:v>Tydzień 39 (Specyficzna 70.3)</x:v>
      </x:c>
      <x:c r="D274" s="54" t="str">
        <x:v>Race pace, open water, symulacje startowe</x:v>
      </x:c>
      <x:c r="E274" s="54" t="str">
        <x:v>Bieg easy + OPEN WATER</x:v>
      </x:c>
      <x:c r="F274" s="54" t="str">
        <x:v>RANO: 6-10 km easy. WIECZÓR: OPEN WATER 30-50 min: nawigacja, start, nawroty, płynięcie w kontakcie. Co 2-3 tygodnie 1500-1900 m ciągiem.</x:v>
      </x:c>
      <x:c r="G274" s="54" t="str">
        <x:v>ŁATWY</x:v>
      </x:c>
      <x:c r="H274" s="54" t="str">
        <x:v>Adaptacja open water</x:v>
      </x:c>
      <x:c r="I274" s="54" t="str">
        <x:v>Jajka lub jogurt/skyr + owoce; kawa spokojnie.</x:v>
      </x:c>
      <x:c r="J274" s="54" t="str">
        <x:v>Zupa/kasza/ryż + warzywa + białko; nawodnienie.</x:v>
      </x:c>
      <x:c r="K274" s="54" t="str">
        <x:v>Lekka kolacja: ryż/ziemniaki + ryba/tofu/jaja + warzywa.</x:v>
      </x:c>
      <x:c r="L274" s="54"/>
      <x:c r="M274" s="54"/>
      <x:c r="N274" s="54"/>
      <x:c r="O274" s="54"/>
      <x:c r="P274" s="54"/>
      <x:c r="Q274" s="54" t="str">
        <x:v>Jeśli technika się sypie: skróć odcinki, wydłuż przerwy, nie dokładaj metrów.</x:v>
      </x:c>
      <x:c r="V274" s="227"/>
      <x:c r="W274" s="228"/>
      <x:c r="X274" s="226"/>
      <x:c r="Y274" s="229"/>
      <x:c r="Z274" s="227"/>
      <x:c r="AA274" s="226" t="str">
        <x:f>IF(AND(L274="",M274="",N274="",Z274=""),"",IF(OR(M274&gt;=5,N274&lt;6,L274&gt;=8),"CZERWONY",IF(OR(M274&gt;=3,N274&lt;6.5,L274&gt;=7,Z274&lt;=4),"ŻÓŁTY","OK")))</x:f>
      </x:c>
      <x:c r="AB274" s="226" t="str">
        <x:f>IF(AA274="","",IF(AA274="OK","Realizuj plan normalnie.",IF(AA274="ŻÓŁTY","Skróć 10-30% albo zamień akcent na easy.", "STOP mocne bodźce: wolne/basen/Tacx Z1 48-72 h.")))</x:f>
      </x:c>
    </x:row>
    <x:row r="275">
      <x:c r="A275" s="71" t="n">
        <x:v>46549</x:v>
      </x:c>
      <x:c r="B275" s="72" t="str">
        <x:v>Piątek</x:v>
      </x:c>
      <x:c r="C275" s="72" t="str">
        <x:v>Tydzień 39 (Specyficzna 70.3)</x:v>
      </x:c>
      <x:c r="D275" s="72" t="str">
        <x:v>Race pace, open water, symulacje startowe</x:v>
      </x:c>
      <x:c r="E275" s="72" t="str">
        <x:v>WOLNE</x:v>
      </x:c>
      <x:c r="F275" s="72" t="str">
        <x:v>Pełna regeneracja. Zero nadrabiania. Sprawdź sen, RPE i ból.</x:v>
      </x:c>
      <x:c r="G275" s="72" t="str">
        <x:v>WOLNE</x:v>
      </x:c>
      <x:c r="H275" s="72" t="str">
        <x:v>Adaptacja</x:v>
      </x:c>
      <x:c r="I275" s="72" t="str">
        <x:v>Normalne śniadanie, bez wymuszonego ładowania.</x:v>
      </x:c>
      <x:c r="J275" s="72" t="str">
        <x:v>Warzywa + białko + spokojna porcja węgli.</x:v>
      </x:c>
      <x:c r="K275" s="72" t="str">
        <x:v>Lekko, prosto, sen ważniejszy niż idealne makro.</x:v>
      </x:c>
      <x:c r="L275" s="72"/>
      <x:c r="M275" s="72"/>
      <x:c r="N275" s="72"/>
      <x:c r="O275" s="72"/>
      <x:c r="P275" s="72"/>
      <x:c r="Q275" s="72" t="str">
        <x:v>Nie nadrabiaj zaległości. Regeneracja jest częścią planu.</x:v>
      </x:c>
      <x:c r="V275" s="227"/>
      <x:c r="W275" s="228"/>
      <x:c r="X275" s="226"/>
      <x:c r="Y275" s="229"/>
      <x:c r="Z275" s="227"/>
      <x:c r="AA275" s="226" t="str">
        <x:f>IF(AND(L275="",M275="",N275="",Z275=""),"",IF(OR(M275&gt;=5,N275&lt;6,L275&gt;=8),"CZERWONY",IF(OR(M275&gt;=3,N275&lt;6.5,L275&gt;=7,Z275&lt;=4),"ŻÓŁTY","OK")))</x:f>
      </x:c>
      <x:c r="AB275" s="226" t="str">
        <x:f>IF(AA275="","",IF(AA275="OK","Realizuj plan normalnie.",IF(AA275="ŻÓŁTY","Skróć 10-30% albo zamień akcent na easy.", "STOP mocne bodźce: wolne/basen/Tacx Z1 48-72 h.")))</x:f>
      </x:c>
    </x:row>
    <x:row r="276">
      <x:c r="A276" s="53" t="n">
        <x:v>46550</x:v>
      </x:c>
      <x:c r="B276" s="54" t="str">
        <x:v>Sobota</x:v>
      </x:c>
      <x:c r="C276" s="54" t="str">
        <x:v>Tydzień 39 (Specyficzna 70.3)</x:v>
      </x:c>
      <x:c r="D276" s="54" t="str">
        <x:v>Race pace, open water, symulacje startowe</x:v>
      </x:c>
      <x:c r="E276" s="54" t="str">
        <x:v>Rower regeneracyjny</x:v>
      </x:c>
      <x:c r="F276" s="54" t="str">
        <x:v>45-60 min Z1/Z2. Bez T2. To jest prawdziwy tydzień regeneracyjny.</x:v>
      </x:c>
      <x:c r="G276" s="54" t="str">
        <x:v>REGENERACJA</x:v>
      </x:c>
      <x:c r="H276" s="54" t="str">
        <x:v>Zrzut zmęczenia</x:v>
      </x:c>
      <x:c r="I276" s="54" t="str">
        <x:v>Normalne śniadanie, bez wymuszonego ładowania.</x:v>
      </x:c>
      <x:c r="J276" s="54" t="str">
        <x:v>Warzywa + białko + spokojna porcja węgli.</x:v>
      </x:c>
      <x:c r="K276" s="54" t="str">
        <x:v>Lekko, prosto, sen ważniejszy niż idealne makro.</x:v>
      </x:c>
      <x:c r="L276" s="54"/>
      <x:c r="M276" s="54"/>
      <x:c r="N276" s="54"/>
      <x:c r="O276" s="54"/>
      <x:c r="P276" s="54"/>
      <x:c r="Q276" s="54" t="str">
        <x:v>Nie nadrabiaj zaległości. Regeneracja jest częścią planu.</x:v>
      </x:c>
      <x:c r="V276" s="227"/>
      <x:c r="W276" s="228"/>
      <x:c r="X276" s="226"/>
      <x:c r="Y276" s="229"/>
      <x:c r="Z276" s="227"/>
      <x:c r="AA276" s="226" t="str">
        <x:f>IF(AND(L276="",M276="",N276="",Z276=""),"",IF(OR(M276&gt;=5,N276&lt;6,L276&gt;=8),"CZERWONY",IF(OR(M276&gt;=3,N276&lt;6.5,L276&gt;=7,Z276&lt;=4),"ŻÓŁTY","OK")))</x:f>
      </x:c>
      <x:c r="AB276" s="226" t="str">
        <x:f>IF(AA276="","",IF(AA276="OK","Realizuj plan normalnie.",IF(AA276="ŻÓŁTY","Skróć 10-30% albo zamień akcent na easy.", "STOP mocne bodźce: wolne/basen/Tacx Z1 48-72 h.")))</x:f>
      </x:c>
    </x:row>
    <x:row r="277">
      <x:c r="A277" s="53" t="n">
        <x:v>46551</x:v>
      </x:c>
      <x:c r="B277" s="54" t="str">
        <x:v>Niedziela</x:v>
      </x:c>
      <x:c r="C277" s="54" t="str">
        <x:v>Tydzień 39 (Specyficzna 70.3)</x:v>
      </x:c>
      <x:c r="D277" s="54" t="str">
        <x:v>Race pace, open water, symulacje startowe</x:v>
      </x:c>
      <x:c r="E277" s="54" t="str">
        <x:v>Bieg easy krótki</x:v>
      </x:c>
      <x:c r="F277" s="54" t="str">
        <x:v>6-10 km easy 5:45-6:15/km. Tydzień lżejszy, bez ambicji.</x:v>
      </x:c>
      <x:c r="G277" s="54" t="str">
        <x:v>REGENERACJA</x:v>
      </x:c>
      <x:c r="H277" s="54" t="str">
        <x:v>Odświeżenie</x:v>
      </x:c>
      <x:c r="I277" s="54" t="str">
        <x:v>Normalne śniadanie, bez wymuszonego ładowania.</x:v>
      </x:c>
      <x:c r="J277" s="54" t="str">
        <x:v>Warzywa + białko + spokojna porcja węgli.</x:v>
      </x:c>
      <x:c r="K277" s="54" t="str">
        <x:v>Lekko, prosto, sen ważniejszy niż idealne makro.</x:v>
      </x:c>
      <x:c r="L277" s="54"/>
      <x:c r="M277" s="54"/>
      <x:c r="N277" s="54"/>
      <x:c r="O277" s="54"/>
      <x:c r="P277" s="54"/>
      <x:c r="Q277" s="54" t="str">
        <x:v>Nie nadrabiaj zaległości. Regeneracja jest częścią planu.</x:v>
      </x:c>
      <x:c r="V277" s="227"/>
      <x:c r="W277" s="228"/>
      <x:c r="X277" s="226"/>
      <x:c r="Y277" s="229"/>
      <x:c r="Z277" s="227"/>
      <x:c r="AA277" s="226" t="str">
        <x:f>IF(AND(L277="",M277="",N277="",Z277=""),"",IF(OR(M277&gt;=5,N277&lt;6,L277&gt;=8),"CZERWONY",IF(OR(M277&gt;=3,N277&lt;6.5,L277&gt;=7,Z277&lt;=4),"ŻÓŁTY","OK")))</x:f>
      </x:c>
      <x:c r="AB277" s="226" t="str">
        <x:f>IF(AA277="","",IF(AA277="OK","Realizuj plan normalnie.",IF(AA277="ŻÓŁTY","Skróć 10-30% albo zamień akcent na easy.", "STOP mocne bodźce: wolne/basen/Tacx Z1 48-72 h.")))</x:f>
      </x:c>
    </x:row>
    <x:row r="278">
      <x:c r="A278" s="53" t="n">
        <x:v>46552</x:v>
      </x:c>
      <x:c r="B278" s="54" t="str">
        <x:v>Poniedziałek</x:v>
      </x:c>
      <x:c r="C278" s="54" t="str">
        <x:v>Tydzień 40 (Specyficzna 70.3)</x:v>
      </x:c>
      <x:c r="D278" s="54" t="str">
        <x:v>Race pace, open water, symulacje startowe</x:v>
      </x:c>
      <x:c r="E278" s="54" t="str">
        <x:v>Pływanie technika</x:v>
      </x:c>
      <x:c r="F278" s="54" t="str">
        <x:v>Basen 1800-2400 m: technika chwytu + 8x100 m spokojnie. Open water zostaje na czwartek/weekend.</x:v>
      </x:c>
      <x:c r="G278" s="54" t="str">
        <x:v>ŁATWY</x:v>
      </x:c>
      <x:c r="H278" s="54" t="str">
        <x:v>Technika</x:v>
      </x:c>
      <x:c r="I278" s="54" t="str">
        <x:v>Jajka lub jogurt/skyr + owoce; kawa spokojnie.</x:v>
      </x:c>
      <x:c r="J278" s="54" t="str">
        <x:v>Zupa/kasza/ryż + warzywa + białko; nawodnienie.</x:v>
      </x:c>
      <x:c r="K278" s="54" t="str">
        <x:v>Lekka kolacja: ryż/ziemniaki + ryba/tofu/jaja + warzywa.</x:v>
      </x:c>
      <x:c r="L278" s="54"/>
      <x:c r="M278" s="54"/>
      <x:c r="N278" s="54"/>
      <x:c r="O278" s="54"/>
      <x:c r="P278" s="54"/>
      <x:c r="Q278" s="54" t="str">
        <x:v>Jeśli nogi ciężkie: skróć o 20-30% i trzymaj Z1/Z2.</x:v>
      </x:c>
      <x:c r="V278" s="227"/>
      <x:c r="W278" s="228"/>
      <x:c r="X278" s="226"/>
      <x:c r="Y278" s="229"/>
      <x:c r="Z278" s="227"/>
      <x:c r="AA278" s="226" t="str">
        <x:f>IF(AND(L278="",M278="",N278="",Z278=""),"",IF(OR(M278&gt;=5,N278&lt;6,L278&gt;=8),"CZERWONY",IF(OR(M278&gt;=3,N278&lt;6.5,L278&gt;=7,Z278&lt;=4),"ŻÓŁTY","OK")))</x:f>
      </x:c>
      <x:c r="AB278" s="226" t="str">
        <x:f>IF(AA278="","",IF(AA278="OK","Realizuj plan normalnie.",IF(AA278="ŻÓŁTY","Skróć 10-30% albo zamień akcent na easy.", "STOP mocne bodźce: wolne/basen/Tacx Z1 48-72 h.")))</x:f>
      </x:c>
    </x:row>
    <x:row r="279">
      <x:c r="A279" s="53" t="n">
        <x:v>46553</x:v>
      </x:c>
      <x:c r="B279" s="54" t="str">
        <x:v>Wtorek</x:v>
      </x:c>
      <x:c r="C279" s="54" t="str">
        <x:v>Tydzień 40 (Specyficzna 70.3)</x:v>
      </x:c>
      <x:c r="D279" s="54" t="str">
        <x:v>Race pace, open water, symulacje startowe</x:v>
      </x:c>
      <x:c r="E279" s="54" t="str">
        <x:v>Bieg race pace</x:v>
      </x:c>
      <x:c r="F279" s="54" t="str">
        <x:v>10-16 km: 6-10 km w tempie 70.3 4:55-5:05/km. Nie szybciej niż plan.</x:v>
      </x:c>
      <x:c r="G279" s="54" t="str">
        <x:v>MP/RACE PACE</x:v>
      </x:c>
      <x:c r="H279" s="54" t="str">
        <x:v>Specyfika 70.3</x:v>
      </x:c>
      <x:c r="I279" s="54" t="str">
        <x:v>2-3 h przed: kleik/ryż/wafle + miód/dżem; mało tłuszczu i błonnika.</x:v>
      </x:c>
      <x:c r="J279" s="54" t="str">
        <x:v>Ryż/ziemniaki/kasza + lekkie białko + warzywa.</x:v>
      </x:c>
      <x:c r="K279" s="54" t="str">
        <x:v>Po: 20-35 g białka + węgle; elektrolity.</x:v>
      </x:c>
      <x:c r="L279" s="54"/>
      <x:c r="M279" s="54"/>
      <x:c r="N279" s="54"/>
      <x:c r="O279" s="54"/>
      <x:c r="P279" s="54"/>
      <x:c r="Q279" s="54" t="str">
        <x:v>Jeśli ból ≥3/10 lub sen &lt;6 h: zamień na easy 30-45 min albo basen.</x:v>
      </x:c>
      <x:c r="V279" s="227"/>
      <x:c r="W279" s="228"/>
      <x:c r="X279" s="226"/>
      <x:c r="Y279" s="229"/>
      <x:c r="Z279" s="227"/>
      <x:c r="AA279" s="226" t="str">
        <x:f>IF(AND(L279="",M279="",N279="",Z279=""),"",IF(OR(M279&gt;=5,N279&lt;6,L279&gt;=8),"CZERWONY",IF(OR(M279&gt;=3,N279&lt;6.5,L279&gt;=7,Z279&lt;=4),"ŻÓŁTY","OK")))</x:f>
      </x:c>
      <x:c r="AB279" s="226" t="str">
        <x:f>IF(AA279="","",IF(AA279="OK","Realizuj plan normalnie.",IF(AA279="ŻÓŁTY","Skróć 10-30% albo zamień akcent na easy.", "STOP mocne bodźce: wolne/basen/Tacx Z1 48-72 h.")))</x:f>
      </x:c>
    </x:row>
    <x:row r="280">
      <x:c r="A280" s="53" t="n">
        <x:v>46554</x:v>
      </x:c>
      <x:c r="B280" s="54" t="str">
        <x:v>Środa</x:v>
      </x:c>
      <x:c r="C280" s="54" t="str">
        <x:v>Tydzień 40 (Specyficzna 70.3)</x:v>
      </x:c>
      <x:c r="D280" s="54" t="str">
        <x:v>Race pace, open water, symulacje startowe</x:v>
      </x:c>
      <x:c r="E280" s="54" t="str">
        <x:v>Rower race pace</x:v>
      </x:c>
      <x:c r="F280" s="54" t="str">
        <x:v>75-105 min: 2x20-30 min w mocy 70.3 po aktualnym FTP. Aero/pozycja jeśli możliwe.</x:v>
      </x:c>
      <x:c r="G280" s="54" t="str">
        <x:v>MP/RACE PACE</x:v>
      </x:c>
      <x:c r="H280" s="54" t="str">
        <x:v>Moc startowa</x:v>
      </x:c>
      <x:c r="I280" s="54" t="str">
        <x:v>2-3 h przed: kleik/ryż/wafle + miód/dżem; mało tłuszczu i błonnika.</x:v>
      </x:c>
      <x:c r="J280" s="54" t="str">
        <x:v>Ryż/ziemniaki/kasza + lekkie białko + warzywa.</x:v>
      </x:c>
      <x:c r="K280" s="54" t="str">
        <x:v>Po: 20-35 g białka + węgle; elektrolity.</x:v>
      </x:c>
      <x:c r="L280" s="54"/>
      <x:c r="M280" s="54"/>
      <x:c r="N280" s="54"/>
      <x:c r="O280" s="54"/>
      <x:c r="P280" s="54"/>
      <x:c r="Q280" s="54" t="str">
        <x:v>Jeśli ból ≥3/10 lub sen &lt;6 h: zamień na easy 30-45 min albo basen.</x:v>
      </x:c>
      <x:c r="V280" s="227"/>
      <x:c r="W280" s="228"/>
      <x:c r="X280" s="226"/>
      <x:c r="Y280" s="229"/>
      <x:c r="Z280" s="227"/>
      <x:c r="AA280" s="226" t="str">
        <x:f>IF(AND(L280="",M280="",N280="",Z280=""),"",IF(OR(M280&gt;=5,N280&lt;6,L280&gt;=8),"CZERWONY",IF(OR(M280&gt;=3,N280&lt;6.5,L280&gt;=7,Z280&lt;=4),"ŻÓŁTY","OK")))</x:f>
      </x:c>
      <x:c r="AB280" s="226" t="str">
        <x:f>IF(AA280="","",IF(AA280="OK","Realizuj plan normalnie.",IF(AA280="ŻÓŁTY","Skróć 10-30% albo zamień akcent na easy.", "STOP mocne bodźce: wolne/basen/Tacx Z1 48-72 h.")))</x:f>
      </x:c>
    </x:row>
    <x:row r="281">
      <x:c r="A281" s="53" t="n">
        <x:v>46555</x:v>
      </x:c>
      <x:c r="B281" s="54" t="str">
        <x:v>Czwartek</x:v>
      </x:c>
      <x:c r="C281" s="54" t="str">
        <x:v>Tydzień 40 (Specyficzna 70.3)</x:v>
      </x:c>
      <x:c r="D281" s="54" t="str">
        <x:v>Race pace, open water, symulacje startowe</x:v>
      </x:c>
      <x:c r="E281" s="54" t="str">
        <x:v>Bieg easy + OPEN WATER</x:v>
      </x:c>
      <x:c r="F281" s="54" t="str">
        <x:v>RANO: 6-10 km easy. WIECZÓR: OPEN WATER 30-50 min: nawigacja, start, nawroty, płynięcie w kontakcie. Co 2-3 tygodnie 1500-1900 m ciągiem.</x:v>
      </x:c>
      <x:c r="G281" s="54" t="str">
        <x:v>ŁATWY</x:v>
      </x:c>
      <x:c r="H281" s="54" t="str">
        <x:v>Adaptacja open water</x:v>
      </x:c>
      <x:c r="I281" s="54" t="str">
        <x:v>Jajka lub jogurt/skyr + owoce; kawa spokojnie.</x:v>
      </x:c>
      <x:c r="J281" s="54" t="str">
        <x:v>Zupa/kasza/ryż + warzywa + białko; nawodnienie.</x:v>
      </x:c>
      <x:c r="K281" s="54" t="str">
        <x:v>Lekka kolacja: ryż/ziemniaki + ryba/tofu/jaja + warzywa.</x:v>
      </x:c>
      <x:c r="L281" s="54"/>
      <x:c r="M281" s="54"/>
      <x:c r="N281" s="54"/>
      <x:c r="O281" s="54"/>
      <x:c r="P281" s="54"/>
      <x:c r="Q281" s="54" t="str">
        <x:v>Jeśli technika się sypie: skróć odcinki, wydłuż przerwy, nie dokładaj metrów.</x:v>
      </x:c>
      <x:c r="V281" s="227"/>
      <x:c r="W281" s="228"/>
      <x:c r="X281" s="226"/>
      <x:c r="Y281" s="229"/>
      <x:c r="Z281" s="227"/>
      <x:c r="AA281" s="226" t="str">
        <x:f>IF(AND(L281="",M281="",N281="",Z281=""),"",IF(OR(M281&gt;=5,N281&lt;6,L281&gt;=8),"CZERWONY",IF(OR(M281&gt;=3,N281&lt;6.5,L281&gt;=7,Z281&lt;=4),"ŻÓŁTY","OK")))</x:f>
      </x:c>
      <x:c r="AB281" s="226" t="str">
        <x:f>IF(AA281="","",IF(AA281="OK","Realizuj plan normalnie.",IF(AA281="ŻÓŁTY","Skróć 10-30% albo zamień akcent na easy.", "STOP mocne bodźce: wolne/basen/Tacx Z1 48-72 h.")))</x:f>
      </x:c>
    </x:row>
    <x:row r="282">
      <x:c r="A282" s="71" t="n">
        <x:v>46556</x:v>
      </x:c>
      <x:c r="B282" s="72" t="str">
        <x:v>Piątek</x:v>
      </x:c>
      <x:c r="C282" s="72" t="str">
        <x:v>Tydzień 40 (Specyficzna 70.3)</x:v>
      </x:c>
      <x:c r="D282" s="72" t="str">
        <x:v>Race pace, open water, symulacje startowe</x:v>
      </x:c>
      <x:c r="E282" s="72" t="str">
        <x:v>WOLNE</x:v>
      </x:c>
      <x:c r="F282" s="72" t="str">
        <x:v>Pełna regeneracja. Zero nadrabiania. Sprawdź sen, RPE i ból.</x:v>
      </x:c>
      <x:c r="G282" s="72" t="str">
        <x:v>WOLNE</x:v>
      </x:c>
      <x:c r="H282" s="72" t="str">
        <x:v>Adaptacja</x:v>
      </x:c>
      <x:c r="I282" s="72" t="str">
        <x:v>Normalne śniadanie, bez wymuszonego ładowania.</x:v>
      </x:c>
      <x:c r="J282" s="72" t="str">
        <x:v>Warzywa + białko + spokojna porcja węgli.</x:v>
      </x:c>
      <x:c r="K282" s="72" t="str">
        <x:v>Lekko, prosto, sen ważniejszy niż idealne makro.</x:v>
      </x:c>
      <x:c r="L282" s="72"/>
      <x:c r="M282" s="72"/>
      <x:c r="N282" s="72"/>
      <x:c r="O282" s="72"/>
      <x:c r="P282" s="72"/>
      <x:c r="Q282" s="72" t="str">
        <x:v>Nie nadrabiaj zaległości. Regeneracja jest częścią planu.</x:v>
      </x:c>
      <x:c r="V282" s="227"/>
      <x:c r="W282" s="228"/>
      <x:c r="X282" s="226"/>
      <x:c r="Y282" s="229"/>
      <x:c r="Z282" s="227"/>
      <x:c r="AA282" s="226" t="str">
        <x:f>IF(AND(L282="",M282="",N282="",Z282=""),"",IF(OR(M282&gt;=5,N282&lt;6,L282&gt;=8),"CZERWONY",IF(OR(M282&gt;=3,N282&lt;6.5,L282&gt;=7,Z282&lt;=4),"ŻÓŁTY","OK")))</x:f>
      </x:c>
      <x:c r="AB282" s="226" t="str">
        <x:f>IF(AA282="","",IF(AA282="OK","Realizuj plan normalnie.",IF(AA282="ŻÓŁTY","Skróć 10-30% albo zamień akcent na easy.", "STOP mocne bodźce: wolne/basen/Tacx Z1 48-72 h.")))</x:f>
      </x:c>
    </x:row>
    <x:row r="283">
      <x:c r="A283" s="53" t="n">
        <x:v>46557</x:v>
      </x:c>
      <x:c r="B283" s="54" t="str">
        <x:v>Sobota</x:v>
      </x:c>
      <x:c r="C283" s="54" t="str">
        <x:v>Tydzień 40 (Specyficzna 70.3)</x:v>
      </x:c>
      <x:c r="D283" s="54" t="str">
        <x:v>Race pace, open water, symulacje startowe</x:v>
      </x:c>
      <x:c r="E283" s="54" t="str">
        <x:v>Rower długi + T2 specyficzna</x:v>
      </x:c>
      <x:c r="F283" s="54" t="str">
        <x:v>210 min: większość Z2, 2-3 bloki race pace/aero + 8 km biegu od razu po rowerze. Paliwo 70-90 g węgli/h.</x:v>
      </x:c>
      <x:c r="G283" s="54" t="str">
        <x:v>LONG</x:v>
      </x:c>
      <x:c r="H283" s="54" t="str">
        <x:v>Symulacja 70.3</x:v>
      </x:c>
      <x:c r="I283" s="54" t="str">
        <x:v>3 h przed: sprawdzony posiłek węglowodanowy; bez nowych produktów.</x:v>
      </x:c>
      <x:c r="J283" s="54" t="str">
        <x:v>Po treningu: ryż/ziemniaki + białko + sól/elektrolity.</x:v>
      </x:c>
      <x:c r="K283" s="54" t="str">
        <x:v>Kolacja regeneracyjna: węgle + białko + warzywa; uzupełnij płyny.</x:v>
      </x:c>
      <x:c r="L283" s="54"/>
      <x:c r="M283" s="54"/>
      <x:c r="N283" s="54"/>
      <x:c r="O283" s="54"/>
      <x:c r="P283" s="54"/>
      <x:c r="Q283" s="54" t="str">
        <x:v>Jeśli ból narasta lub RPE &gt;7 przed połową: skróć, nie nadrabiaj kilometrów.</x:v>
      </x:c>
      <x:c r="V283" s="227"/>
      <x:c r="W283" s="228"/>
      <x:c r="X283" s="226"/>
      <x:c r="Y283" s="229"/>
      <x:c r="Z283" s="227"/>
      <x:c r="AA283" s="226" t="str">
        <x:f>IF(AND(L283="",M283="",N283="",Z283=""),"",IF(OR(M283&gt;=5,N283&lt;6,L283&gt;=8),"CZERWONY",IF(OR(M283&gt;=3,N283&lt;6.5,L283&gt;=7,Z283&lt;=4),"ŻÓŁTY","OK")))</x:f>
      </x:c>
      <x:c r="AB283" s="226" t="str">
        <x:f>IF(AA283="","",IF(AA283="OK","Realizuj plan normalnie.",IF(AA283="ŻÓŁTY","Skróć 10-30% albo zamień akcent na easy.", "STOP mocne bodźce: wolne/basen/Tacx Z1 48-72 h.")))</x:f>
      </x:c>
    </x:row>
    <x:row r="284">
      <x:c r="A284" s="53" t="n">
        <x:v>46558</x:v>
      </x:c>
      <x:c r="B284" s="54" t="str">
        <x:v>Niedziela</x:v>
      </x:c>
      <x:c r="C284" s="54" t="str">
        <x:v>Tydzień 40 (Specyficzna 70.3)</x:v>
      </x:c>
      <x:c r="D284" s="54" t="str">
        <x:v>Race pace, open water, symulacje startowe</x:v>
      </x:c>
      <x:c r="E284" s="54" t="str">
        <x:v>Bieg 70.3 kontrolowany</x:v>
      </x:c>
      <x:c r="F284" s="54" t="str">
        <x:v>18-20 km: 8 km easy + 2x4 km w tempie 70.3 / 1 km easy + schłodzenie.</x:v>
      </x:c>
      <x:c r="G284" s="54" t="str">
        <x:v>LONG</x:v>
      </x:c>
      <x:c r="H284" s="54" t="str">
        <x:v>Kontrola tempa</x:v>
      </x:c>
      <x:c r="I284" s="54" t="str">
        <x:v>2-3 h przed: kleik/ryż/wafle + miód/dżem; mało tłuszczu i błonnika.</x:v>
      </x:c>
      <x:c r="J284" s="54" t="str">
        <x:v>Ryż/ziemniaki/kasza + lekkie białko + warzywa.</x:v>
      </x:c>
      <x:c r="K284" s="54" t="str">
        <x:v>Po: 20-35 g białka + węgle; elektrolity.</x:v>
      </x:c>
      <x:c r="L284" s="54"/>
      <x:c r="M284" s="54"/>
      <x:c r="N284" s="54"/>
      <x:c r="O284" s="54"/>
      <x:c r="P284" s="54"/>
      <x:c r="Q284" s="54" t="str">
        <x:v>Jeśli sobotni rower wszedł ciężko: skróć bieg o 30-50% albo zamień na 40 min easy/spacer.</x:v>
      </x:c>
      <x:c r="V284" s="227"/>
      <x:c r="W284" s="228"/>
      <x:c r="X284" s="226"/>
      <x:c r="Y284" s="229"/>
      <x:c r="Z284" s="227"/>
      <x:c r="AA284" s="226" t="str">
        <x:f>IF(AND(L284="",M284="",N284="",Z284=""),"",IF(OR(M284&gt;=5,N284&lt;6,L284&gt;=8),"CZERWONY",IF(OR(M284&gt;=3,N284&lt;6.5,L284&gt;=7,Z284&lt;=4),"ŻÓŁTY","OK")))</x:f>
      </x:c>
      <x:c r="AB284" s="226" t="str">
        <x:f>IF(AA284="","",IF(AA284="OK","Realizuj plan normalnie.",IF(AA284="ŻÓŁTY","Skróć 10-30% albo zamień akcent na easy.", "STOP mocne bodźce: wolne/basen/Tacx Z1 48-72 h.")))</x:f>
      </x:c>
    </x:row>
    <x:row r="285">
      <x:c r="A285" s="53" t="n">
        <x:v>46559</x:v>
      </x:c>
      <x:c r="B285" s="54" t="str">
        <x:v>Poniedziałek</x:v>
      </x:c>
      <x:c r="C285" s="54" t="str">
        <x:v>Tydzień 41 (Specyficzna 70.3)</x:v>
      </x:c>
      <x:c r="D285" s="54" t="str">
        <x:v>Race pace, open water, symulacje startowe</x:v>
      </x:c>
      <x:c r="E285" s="54" t="str">
        <x:v>Pływanie technika</x:v>
      </x:c>
      <x:c r="F285" s="54" t="str">
        <x:v>Basen 1800-2400 m: technika chwytu + 8x100 m spokojnie. Open water zostaje na czwartek/weekend.</x:v>
      </x:c>
      <x:c r="G285" s="54" t="str">
        <x:v>ŁATWY</x:v>
      </x:c>
      <x:c r="H285" s="54" t="str">
        <x:v>Technika</x:v>
      </x:c>
      <x:c r="I285" s="54" t="str">
        <x:v>Jajka lub jogurt/skyr + owoce; kawa spokojnie.</x:v>
      </x:c>
      <x:c r="J285" s="54" t="str">
        <x:v>Zupa/kasza/ryż + warzywa + białko; nawodnienie.</x:v>
      </x:c>
      <x:c r="K285" s="54" t="str">
        <x:v>Lekka kolacja: ryż/ziemniaki + ryba/tofu/jaja + warzywa.</x:v>
      </x:c>
      <x:c r="L285" s="54"/>
      <x:c r="M285" s="54"/>
      <x:c r="N285" s="54"/>
      <x:c r="O285" s="54"/>
      <x:c r="P285" s="54"/>
      <x:c r="Q285" s="54" t="str">
        <x:v>Jeśli nogi ciężkie: skróć o 20-30% i trzymaj Z1/Z2.</x:v>
      </x:c>
      <x:c r="V285" s="227"/>
      <x:c r="W285" s="228"/>
      <x:c r="X285" s="226"/>
      <x:c r="Y285" s="229"/>
      <x:c r="Z285" s="227"/>
      <x:c r="AA285" s="226" t="str">
        <x:f>IF(AND(L285="",M285="",N285="",Z285=""),"",IF(OR(M285&gt;=5,N285&lt;6,L285&gt;=8),"CZERWONY",IF(OR(M285&gt;=3,N285&lt;6.5,L285&gt;=7,Z285&lt;=4),"ŻÓŁTY","OK")))</x:f>
      </x:c>
      <x:c r="AB285" s="226" t="str">
        <x:f>IF(AA285="","",IF(AA285="OK","Realizuj plan normalnie.",IF(AA285="ŻÓŁTY","Skróć 10-30% albo zamień akcent na easy.", "STOP mocne bodźce: wolne/basen/Tacx Z1 48-72 h.")))</x:f>
      </x:c>
    </x:row>
    <x:row r="286">
      <x:c r="A286" s="53" t="n">
        <x:v>46560</x:v>
      </x:c>
      <x:c r="B286" s="54" t="str">
        <x:v>Wtorek</x:v>
      </x:c>
      <x:c r="C286" s="54" t="str">
        <x:v>Tydzień 41 (Specyficzna 70.3)</x:v>
      </x:c>
      <x:c r="D286" s="54" t="str">
        <x:v>Race pace, open water, symulacje startowe</x:v>
      </x:c>
      <x:c r="E286" s="54" t="str">
        <x:v>Bieg race pace</x:v>
      </x:c>
      <x:c r="F286" s="54" t="str">
        <x:v>10-16 km: 6-10 km w tempie 70.3 4:55-5:05/km. Nie szybciej niż plan.</x:v>
      </x:c>
      <x:c r="G286" s="54" t="str">
        <x:v>MP/RACE PACE</x:v>
      </x:c>
      <x:c r="H286" s="54" t="str">
        <x:v>Specyfika 70.3</x:v>
      </x:c>
      <x:c r="I286" s="54" t="str">
        <x:v>2-3 h przed: kleik/ryż/wafle + miód/dżem; mało tłuszczu i błonnika.</x:v>
      </x:c>
      <x:c r="J286" s="54" t="str">
        <x:v>Ryż/ziemniaki/kasza + lekkie białko + warzywa.</x:v>
      </x:c>
      <x:c r="K286" s="54" t="str">
        <x:v>Po: 20-35 g białka + węgle; elektrolity.</x:v>
      </x:c>
      <x:c r="L286" s="54"/>
      <x:c r="M286" s="54"/>
      <x:c r="N286" s="54"/>
      <x:c r="O286" s="54"/>
      <x:c r="P286" s="54"/>
      <x:c r="Q286" s="54" t="str">
        <x:v>Jeśli ból ≥3/10 lub sen &lt;6 h: zamień na easy 30-45 min albo basen.</x:v>
      </x:c>
      <x:c r="V286" s="227"/>
      <x:c r="W286" s="228"/>
      <x:c r="X286" s="226"/>
      <x:c r="Y286" s="229"/>
      <x:c r="Z286" s="227"/>
      <x:c r="AA286" s="226" t="str">
        <x:f>IF(AND(L286="",M286="",N286="",Z286=""),"",IF(OR(M286&gt;=5,N286&lt;6,L286&gt;=8),"CZERWONY",IF(OR(M286&gt;=3,N286&lt;6.5,L286&gt;=7,Z286&lt;=4),"ŻÓŁTY","OK")))</x:f>
      </x:c>
      <x:c r="AB286" s="226" t="str">
        <x:f>IF(AA286="","",IF(AA286="OK","Realizuj plan normalnie.",IF(AA286="ŻÓŁTY","Skróć 10-30% albo zamień akcent na easy.", "STOP mocne bodźce: wolne/basen/Tacx Z1 48-72 h.")))</x:f>
      </x:c>
    </x:row>
    <x:row r="287">
      <x:c r="A287" s="53" t="n">
        <x:v>46561</x:v>
      </x:c>
      <x:c r="B287" s="54" t="str">
        <x:v>Środa</x:v>
      </x:c>
      <x:c r="C287" s="54" t="str">
        <x:v>Tydzień 41 (Specyficzna 70.3)</x:v>
      </x:c>
      <x:c r="D287" s="54" t="str">
        <x:v>Race pace, open water, symulacje startowe</x:v>
      </x:c>
      <x:c r="E287" s="54" t="str">
        <x:v>Rower race pace</x:v>
      </x:c>
      <x:c r="F287" s="54" t="str">
        <x:v>75-105 min: 2x20-30 min w mocy 70.3 po aktualnym FTP. Aero/pozycja jeśli możliwe.</x:v>
      </x:c>
      <x:c r="G287" s="54" t="str">
        <x:v>MP/RACE PACE</x:v>
      </x:c>
      <x:c r="H287" s="54" t="str">
        <x:v>Moc startowa</x:v>
      </x:c>
      <x:c r="I287" s="54" t="str">
        <x:v>2-3 h przed: kleik/ryż/wafle + miód/dżem; mało tłuszczu i błonnika.</x:v>
      </x:c>
      <x:c r="J287" s="54" t="str">
        <x:v>Ryż/ziemniaki/kasza + lekkie białko + warzywa.</x:v>
      </x:c>
      <x:c r="K287" s="54" t="str">
        <x:v>Po: 20-35 g białka + węgle; elektrolity.</x:v>
      </x:c>
      <x:c r="L287" s="54"/>
      <x:c r="M287" s="54"/>
      <x:c r="N287" s="54"/>
      <x:c r="O287" s="54"/>
      <x:c r="P287" s="54"/>
      <x:c r="Q287" s="54" t="str">
        <x:v>Jeśli ból ≥3/10 lub sen &lt;6 h: zamień na easy 30-45 min albo basen.</x:v>
      </x:c>
      <x:c r="V287" s="227"/>
      <x:c r="W287" s="228"/>
      <x:c r="X287" s="226"/>
      <x:c r="Y287" s="229"/>
      <x:c r="Z287" s="227"/>
      <x:c r="AA287" s="226" t="str">
        <x:f>IF(AND(L287="",M287="",N287="",Z287=""),"",IF(OR(M287&gt;=5,N287&lt;6,L287&gt;=8),"CZERWONY",IF(OR(M287&gt;=3,N287&lt;6.5,L287&gt;=7,Z287&lt;=4),"ŻÓŁTY","OK")))</x:f>
      </x:c>
      <x:c r="AB287" s="226" t="str">
        <x:f>IF(AA287="","",IF(AA287="OK","Realizuj plan normalnie.",IF(AA287="ŻÓŁTY","Skróć 10-30% albo zamień akcent na easy.", "STOP mocne bodźce: wolne/basen/Tacx Z1 48-72 h.")))</x:f>
      </x:c>
    </x:row>
    <x:row r="288">
      <x:c r="A288" s="53" t="n">
        <x:v>46562</x:v>
      </x:c>
      <x:c r="B288" s="54" t="str">
        <x:v>Czwartek</x:v>
      </x:c>
      <x:c r="C288" s="54" t="str">
        <x:v>Tydzień 41 (Specyficzna 70.3)</x:v>
      </x:c>
      <x:c r="D288" s="54" t="str">
        <x:v>Race pace, open water, symulacje startowe</x:v>
      </x:c>
      <x:c r="E288" s="54" t="str">
        <x:v>Bieg easy + OPEN WATER</x:v>
      </x:c>
      <x:c r="F288" s="54" t="str">
        <x:v>RANO: 6-10 km easy. WIECZÓR: OPEN WATER 30-50 min: nawigacja, start, nawroty, płynięcie w kontakcie. Co 2-3 tygodnie 1500-1900 m ciągiem.</x:v>
      </x:c>
      <x:c r="G288" s="54" t="str">
        <x:v>ŁATWY</x:v>
      </x:c>
      <x:c r="H288" s="54" t="str">
        <x:v>Adaptacja open water</x:v>
      </x:c>
      <x:c r="I288" s="54" t="str">
        <x:v>Jajka lub jogurt/skyr + owoce; kawa spokojnie.</x:v>
      </x:c>
      <x:c r="J288" s="54" t="str">
        <x:v>Zupa/kasza/ryż + warzywa + białko; nawodnienie.</x:v>
      </x:c>
      <x:c r="K288" s="54" t="str">
        <x:v>Lekka kolacja: ryż/ziemniaki + ryba/tofu/jaja + warzywa.</x:v>
      </x:c>
      <x:c r="L288" s="54"/>
      <x:c r="M288" s="54"/>
      <x:c r="N288" s="54"/>
      <x:c r="O288" s="54"/>
      <x:c r="P288" s="54"/>
      <x:c r="Q288" s="54" t="str">
        <x:v>Jeśli technika się sypie: skróć odcinki, wydłuż przerwy, nie dokładaj metrów.</x:v>
      </x:c>
      <x:c r="V288" s="227"/>
      <x:c r="W288" s="228"/>
      <x:c r="X288" s="226"/>
      <x:c r="Y288" s="229"/>
      <x:c r="Z288" s="227"/>
      <x:c r="AA288" s="226" t="str">
        <x:f>IF(AND(L288="",M288="",N288="",Z288=""),"",IF(OR(M288&gt;=5,N288&lt;6,L288&gt;=8),"CZERWONY",IF(OR(M288&gt;=3,N288&lt;6.5,L288&gt;=7,Z288&lt;=4),"ŻÓŁTY","OK")))</x:f>
      </x:c>
      <x:c r="AB288" s="226" t="str">
        <x:f>IF(AA288="","",IF(AA288="OK","Realizuj plan normalnie.",IF(AA288="ŻÓŁTY","Skróć 10-30% albo zamień akcent na easy.", "STOP mocne bodźce: wolne/basen/Tacx Z1 48-72 h.")))</x:f>
      </x:c>
    </x:row>
    <x:row r="289">
      <x:c r="A289" s="71" t="n">
        <x:v>46563</x:v>
      </x:c>
      <x:c r="B289" s="72" t="str">
        <x:v>Piątek</x:v>
      </x:c>
      <x:c r="C289" s="72" t="str">
        <x:v>Tydzień 41 (Specyficzna 70.3)</x:v>
      </x:c>
      <x:c r="D289" s="72" t="str">
        <x:v>Race pace, open water, symulacje startowe</x:v>
      </x:c>
      <x:c r="E289" s="72" t="str">
        <x:v>WOLNE</x:v>
      </x:c>
      <x:c r="F289" s="72" t="str">
        <x:v>Pełna regeneracja. Zero nadrabiania. Sprawdź sen, RPE i ból.</x:v>
      </x:c>
      <x:c r="G289" s="72" t="str">
        <x:v>WOLNE</x:v>
      </x:c>
      <x:c r="H289" s="72" t="str">
        <x:v>Adaptacja</x:v>
      </x:c>
      <x:c r="I289" s="72" t="str">
        <x:v>Normalne śniadanie, bez wymuszonego ładowania.</x:v>
      </x:c>
      <x:c r="J289" s="72" t="str">
        <x:v>Warzywa + białko + spokojna porcja węgli.</x:v>
      </x:c>
      <x:c r="K289" s="72" t="str">
        <x:v>Lekko, prosto, sen ważniejszy niż idealne makro.</x:v>
      </x:c>
      <x:c r="L289" s="72"/>
      <x:c r="M289" s="72"/>
      <x:c r="N289" s="72"/>
      <x:c r="O289" s="72"/>
      <x:c r="P289" s="72"/>
      <x:c r="Q289" s="72" t="str">
        <x:v>Nie nadrabiaj zaległości. Regeneracja jest częścią planu.</x:v>
      </x:c>
      <x:c r="V289" s="227"/>
      <x:c r="W289" s="228"/>
      <x:c r="X289" s="226"/>
      <x:c r="Y289" s="229"/>
      <x:c r="Z289" s="227"/>
      <x:c r="AA289" s="226" t="str">
        <x:f>IF(AND(L289="",M289="",N289="",Z289=""),"",IF(OR(M289&gt;=5,N289&lt;6,L289&gt;=8),"CZERWONY",IF(OR(M289&gt;=3,N289&lt;6.5,L289&gt;=7,Z289&lt;=4),"ŻÓŁTY","OK")))</x:f>
      </x:c>
      <x:c r="AB289" s="226" t="str">
        <x:f>IF(AA289="","",IF(AA289="OK","Realizuj plan normalnie.",IF(AA289="ŻÓŁTY","Skróć 10-30% albo zamień akcent na easy.", "STOP mocne bodźce: wolne/basen/Tacx Z1 48-72 h.")))</x:f>
      </x:c>
    </x:row>
    <x:row r="290">
      <x:c r="A290" s="53" t="n">
        <x:v>46564</x:v>
      </x:c>
      <x:c r="B290" s="54" t="str">
        <x:v>Sobota</x:v>
      </x:c>
      <x:c r="C290" s="54" t="str">
        <x:v>Tydzień 41 (Specyficzna 70.3)</x:v>
      </x:c>
      <x:c r="D290" s="54" t="str">
        <x:v>Race pace, open water, symulacje startowe</x:v>
      </x:c>
      <x:c r="E290" s="54" t="str">
        <x:v>Rower długi + T2 specyficzna</x:v>
      </x:c>
      <x:c r="F290" s="54" t="str">
        <x:v>220 min: Z2 + 2x25 min race pace/aero, kontrola żołądka i aero + 10 km T2. Twardy cap roweru: max 210-220 min; jakość &gt; objętość. Paliwo 70-90 g węgli/h.</x:v>
      </x:c>
      <x:c r="G290" s="54" t="str">
        <x:v>LONG</x:v>
      </x:c>
      <x:c r="H290" s="54" t="str">
        <x:v>Rower + adaptacja T2</x:v>
      </x:c>
      <x:c r="I290" s="54" t="str">
        <x:v>3 h przed: sprawdzony posiłek węglowodanowy; bez nowych produktów.</x:v>
      </x:c>
      <x:c r="J290" s="54" t="str">
        <x:v>Po treningu: ryż/ziemniaki + białko + sól/elektrolity.</x:v>
      </x:c>
      <x:c r="K290" s="54" t="str">
        <x:v>Kolacja regeneracyjna: węgle + białko + warzywa; uzupełnij płyny.</x:v>
      </x:c>
      <x:c r="L290" s="54"/>
      <x:c r="M290" s="54"/>
      <x:c r="N290" s="54"/>
      <x:c r="O290" s="54"/>
      <x:c r="P290" s="54"/>
      <x:c r="Q290" s="54" t="str">
        <x:v>Jeśli RPE &gt;7, ból narasta lub paliwo nie wchodzi: skróć T2, nie wydłużaj roweru.</x:v>
      </x:c>
      <x:c r="V290" s="227"/>
      <x:c r="W290" s="228"/>
      <x:c r="X290" s="226"/>
      <x:c r="Y290" s="229"/>
      <x:c r="Z290" s="227"/>
      <x:c r="AA290" s="226" t="str">
        <x:f>IF(AND(L290="",M290="",N290="",Z290=""),"",IF(OR(M290&gt;=5,N290&lt;6,L290&gt;=8),"CZERWONY",IF(OR(M290&gt;=3,N290&lt;6.5,L290&gt;=7,Z290&lt;=4),"ŻÓŁTY","OK")))</x:f>
      </x:c>
      <x:c r="AB290" s="226" t="str">
        <x:f>IF(AA290="","",IF(AA290="OK","Realizuj plan normalnie.",IF(AA290="ŻÓŁTY","Skróć 10-30% albo zamień akcent na easy.", "STOP mocne bodźce: wolne/basen/Tacx Z1 48-72 h.")))</x:f>
      </x:c>
    </x:row>
    <x:row r="291">
      <x:c r="A291" s="53" t="n">
        <x:v>46565</x:v>
      </x:c>
      <x:c r="B291" s="54" t="str">
        <x:v>Niedziela</x:v>
      </x:c>
      <x:c r="C291" s="54" t="str">
        <x:v>Tydzień 41 (Specyficzna 70.3)</x:v>
      </x:c>
      <x:c r="D291" s="54" t="str">
        <x:v>Race pace, open water, symulacje startowe</x:v>
      </x:c>
      <x:c r="E291" s="54" t="str">
        <x:v>Bieg długi easy</x:v>
      </x:c>
      <x:c r="F291" s="54" t="str">
        <x:v>16-18 km easy po cięższej sobocie. Bez dokładania tempa — przygotowanie do startu testowego.</x:v>
      </x:c>
      <x:c r="G291" s="54" t="str">
        <x:v>LONG</x:v>
      </x:c>
      <x:c r="H291" s="54" t="str">
        <x:v>Regeneracja aktywna</x:v>
      </x:c>
      <x:c r="I291" s="54" t="str">
        <x:v>2-3 h przed: kleik/ryż/wafle + miód/dżem; mało tłuszczu i błonnika.</x:v>
      </x:c>
      <x:c r="J291" s="54" t="str">
        <x:v>Ryż/ziemniaki/kasza + lekkie białko + warzywa.</x:v>
      </x:c>
      <x:c r="K291" s="54" t="str">
        <x:v>Po: 20-35 g białka + węgle; elektrolity.</x:v>
      </x:c>
      <x:c r="L291" s="54"/>
      <x:c r="M291" s="54"/>
      <x:c r="N291" s="54"/>
      <x:c r="O291" s="54"/>
      <x:c r="P291" s="54"/>
      <x:c r="Q291" s="54" t="str">
        <x:v>Jeśli sobotni rower wszedł ciężko: skróć bieg o 30-50% albo zamień na 40 min easy/spacer.</x:v>
      </x:c>
      <x:c r="V291" s="227"/>
      <x:c r="W291" s="228"/>
      <x:c r="X291" s="226"/>
      <x:c r="Y291" s="229"/>
      <x:c r="Z291" s="227"/>
      <x:c r="AA291" s="226" t="str">
        <x:f>IF(AND(L291="",M291="",N291="",Z291=""),"",IF(OR(M291&gt;=5,N291&lt;6,L291&gt;=8),"CZERWONY",IF(OR(M291&gt;=3,N291&lt;6.5,L291&gt;=7,Z291&lt;=4),"ŻÓŁTY","OK")))</x:f>
      </x:c>
      <x:c r="AB291" s="226" t="str">
        <x:f>IF(AA291="","",IF(AA291="OK","Realizuj plan normalnie.",IF(AA291="ŻÓŁTY","Skróć 10-30% albo zamień akcent na easy.", "STOP mocne bodźce: wolne/basen/Tacx Z1 48-72 h.")))</x:f>
      </x:c>
    </x:row>
    <x:row r="292">
      <x:c r="A292" s="53" t="n">
        <x:v>46566</x:v>
      </x:c>
      <x:c r="B292" s="54" t="str">
        <x:v>Poniedziałek</x:v>
      </x:c>
      <x:c r="C292" s="54" t="str">
        <x:v>Tydzień 42 (Specyficzna 70.3)</x:v>
      </x:c>
      <x:c r="D292" s="54" t="str">
        <x:v>Race pace, open water, symulacje startowe</x:v>
      </x:c>
      <x:c r="E292" s="54" t="str">
        <x:v>Pływanie technika</x:v>
      </x:c>
      <x:c r="F292" s="54" t="str">
        <x:v>Basen 1800-2400 m: technika chwytu + 8x100 m spokojnie. Open water zostaje na czwartek/weekend.</x:v>
      </x:c>
      <x:c r="G292" s="54" t="str">
        <x:v>ŁATWY</x:v>
      </x:c>
      <x:c r="H292" s="54" t="str">
        <x:v>Technika</x:v>
      </x:c>
      <x:c r="I292" s="54" t="str">
        <x:v>Jajka lub jogurt/skyr + owoce; kawa spokojnie.</x:v>
      </x:c>
      <x:c r="J292" s="54" t="str">
        <x:v>Zupa/kasza/ryż + warzywa + białko; nawodnienie.</x:v>
      </x:c>
      <x:c r="K292" s="54" t="str">
        <x:v>Lekka kolacja: ryż/ziemniaki + ryba/tofu/jaja + warzywa.</x:v>
      </x:c>
      <x:c r="L292" s="54"/>
      <x:c r="M292" s="54"/>
      <x:c r="N292" s="54"/>
      <x:c r="O292" s="54"/>
      <x:c r="P292" s="54"/>
      <x:c r="Q292" s="54" t="str">
        <x:v>Jeśli nogi ciężkie: skróć o 20-30% i trzymaj Z1/Z2.</x:v>
      </x:c>
      <x:c r="V292" s="227"/>
      <x:c r="W292" s="228"/>
      <x:c r="X292" s="226"/>
      <x:c r="Y292" s="229"/>
      <x:c r="Z292" s="227"/>
      <x:c r="AA292" s="226" t="str">
        <x:f>IF(AND(L292="",M292="",N292="",Z292=""),"",IF(OR(M292&gt;=5,N292&lt;6,L292&gt;=8),"CZERWONY",IF(OR(M292&gt;=3,N292&lt;6.5,L292&gt;=7,Z292&lt;=4),"ŻÓŁTY","OK")))</x:f>
      </x:c>
      <x:c r="AB292" s="226" t="str">
        <x:f>IF(AA292="","",IF(AA292="OK","Realizuj plan normalnie.",IF(AA292="ŻÓŁTY","Skróć 10-30% albo zamień akcent na easy.", "STOP mocne bodźce: wolne/basen/Tacx Z1 48-72 h.")))</x:f>
      </x:c>
    </x:row>
    <x:row r="293">
      <x:c r="A293" s="53" t="n">
        <x:v>46567</x:v>
      </x:c>
      <x:c r="B293" s="54" t="str">
        <x:v>Wtorek</x:v>
      </x:c>
      <x:c r="C293" s="54" t="str">
        <x:v>Tydzień 42 (Specyficzna 70.3)</x:v>
      </x:c>
      <x:c r="D293" s="54" t="str">
        <x:v>Race pace, open water, symulacje startowe</x:v>
      </x:c>
      <x:c r="E293" s="54" t="str">
        <x:v>Bieg race pace</x:v>
      </x:c>
      <x:c r="F293" s="54" t="str">
        <x:v>10-16 km: 6-10 km w tempie 70.3 4:55-5:05/km. Nie szybciej niż plan.</x:v>
      </x:c>
      <x:c r="G293" s="54" t="str">
        <x:v>MP/RACE PACE</x:v>
      </x:c>
      <x:c r="H293" s="54" t="str">
        <x:v>Specyfika 70.3</x:v>
      </x:c>
      <x:c r="I293" s="54" t="str">
        <x:v>2-3 h przed: kleik/ryż/wafle + miód/dżem; mało tłuszczu i błonnika.</x:v>
      </x:c>
      <x:c r="J293" s="54" t="str">
        <x:v>Ryż/ziemniaki/kasza + lekkie białko + warzywa.</x:v>
      </x:c>
      <x:c r="K293" s="54" t="str">
        <x:v>Po: 20-35 g białka + węgle; elektrolity.</x:v>
      </x:c>
      <x:c r="L293" s="54"/>
      <x:c r="M293" s="54"/>
      <x:c r="N293" s="54"/>
      <x:c r="O293" s="54"/>
      <x:c r="P293" s="54"/>
      <x:c r="Q293" s="54" t="str">
        <x:v>Jeśli ból ≥3/10 lub sen &lt;6 h: zamień na easy 30-45 min albo basen.</x:v>
      </x:c>
      <x:c r="V293" s="227"/>
      <x:c r="W293" s="228"/>
      <x:c r="X293" s="226"/>
      <x:c r="Y293" s="229"/>
      <x:c r="Z293" s="227"/>
      <x:c r="AA293" s="226" t="str">
        <x:f>IF(AND(L293="",M293="",N293="",Z293=""),"",IF(OR(M293&gt;=5,N293&lt;6,L293&gt;=8),"CZERWONY",IF(OR(M293&gt;=3,N293&lt;6.5,L293&gt;=7,Z293&lt;=4),"ŻÓŁTY","OK")))</x:f>
      </x:c>
      <x:c r="AB293" s="226" t="str">
        <x:f>IF(AA293="","",IF(AA293="OK","Realizuj plan normalnie.",IF(AA293="ŻÓŁTY","Skróć 10-30% albo zamień akcent na easy.", "STOP mocne bodźce: wolne/basen/Tacx Z1 48-72 h.")))</x:f>
      </x:c>
    </x:row>
    <x:row r="294">
      <x:c r="A294" s="53" t="n">
        <x:v>46568</x:v>
      </x:c>
      <x:c r="B294" s="54" t="str">
        <x:v>Środa</x:v>
      </x:c>
      <x:c r="C294" s="54" t="str">
        <x:v>Tydzień 42 (Specyficzna 70.3)</x:v>
      </x:c>
      <x:c r="D294" s="54" t="str">
        <x:v>Race pace, open water, symulacje startowe</x:v>
      </x:c>
      <x:c r="E294" s="54" t="str">
        <x:v>Rower race pace</x:v>
      </x:c>
      <x:c r="F294" s="54" t="str">
        <x:v>75-105 min: 2x20-30 min w mocy 70.3 po aktualnym FTP. Aero/pozycja jeśli możliwe.</x:v>
      </x:c>
      <x:c r="G294" s="54" t="str">
        <x:v>MP/RACE PACE</x:v>
      </x:c>
      <x:c r="H294" s="54" t="str">
        <x:v>Moc startowa</x:v>
      </x:c>
      <x:c r="I294" s="54" t="str">
        <x:v>2-3 h przed: kleik/ryż/wafle + miód/dżem; mało tłuszczu i błonnika.</x:v>
      </x:c>
      <x:c r="J294" s="54" t="str">
        <x:v>Ryż/ziemniaki/kasza + lekkie białko + warzywa.</x:v>
      </x:c>
      <x:c r="K294" s="54" t="str">
        <x:v>Po: 20-35 g białka + węgle; elektrolity.</x:v>
      </x:c>
      <x:c r="L294" s="54"/>
      <x:c r="M294" s="54"/>
      <x:c r="N294" s="54"/>
      <x:c r="O294" s="54"/>
      <x:c r="P294" s="54"/>
      <x:c r="Q294" s="54" t="str">
        <x:v>Jeśli ból ≥3/10 lub sen &lt;6 h: zamień na easy 30-45 min albo basen.</x:v>
      </x:c>
      <x:c r="V294" s="227"/>
      <x:c r="W294" s="228"/>
      <x:c r="X294" s="226"/>
      <x:c r="Y294" s="229"/>
      <x:c r="Z294" s="227"/>
      <x:c r="AA294" s="226" t="str">
        <x:f>IF(AND(L294="",M294="",N294="",Z294=""),"",IF(OR(M294&gt;=5,N294&lt;6,L294&gt;=8),"CZERWONY",IF(OR(M294&gt;=3,N294&lt;6.5,L294&gt;=7,Z294&lt;=4),"ŻÓŁTY","OK")))</x:f>
      </x:c>
      <x:c r="AB294" s="226" t="str">
        <x:f>IF(AA294="","",IF(AA294="OK","Realizuj plan normalnie.",IF(AA294="ŻÓŁTY","Skróć 10-30% albo zamień akcent na easy.", "STOP mocne bodźce: wolne/basen/Tacx Z1 48-72 h.")))</x:f>
      </x:c>
    </x:row>
    <x:row r="295" ht="26" customHeight="1">
      <x:c r="A295" s="148" t="n">
        <x:v>46569</x:v>
      </x:c>
      <x:c r="B295" s="149" t="str">
        <x:v>Czwartek</x:v>
      </x:c>
      <x:c r="C295" s="149" t="str">
        <x:v>Tydzień 42 (Specyficzna 70.3)</x:v>
      </x:c>
      <x:c r="D295" s="154" t="str">
        <x:v>Race pace, open water, symulacje startowe</x:v>
      </x:c>
      <x:c r="E295" s="154" t="str">
        <x:v>Bieg easy + OPEN WATER</x:v>
      </x:c>
      <x:c r="F295" s="154" t="str">
        <x:v>RANO: 6-10 km easy. WIECZÓR: OPEN WATER 30-50 min: nawigacja, start, nawroty, płynięcie w kontakcie. Co 2-3 tygodnie 1500-1900 m ciągiem.</x:v>
      </x:c>
      <x:c r="G295" s="154" t="str">
        <x:v>ŁATWY</x:v>
      </x:c>
      <x:c r="H295" s="154" t="str">
        <x:v>Adaptacja open water</x:v>
      </x:c>
      <x:c r="I295" s="154" t="str">
        <x:v>Jajka lub jogurt/skyr + owoce; kawa spokojnie.</x:v>
      </x:c>
      <x:c r="J295" s="154" t="str">
        <x:v>Zupa/kasza/ryż + warzywa + białko; nawodnienie.</x:v>
      </x:c>
      <x:c r="K295" s="154" t="str">
        <x:v>Lekka kolacja: ryż/ziemniaki + ryba/tofu/jaja + warzywa.</x:v>
      </x:c>
      <x:c r="L295" s="154"/>
      <x:c r="M295" s="154"/>
      <x:c r="N295" s="154"/>
      <x:c r="O295" s="154"/>
      <x:c r="P295" s="154"/>
      <x:c r="Q295" s="154" t="str">
        <x:v>Jeśli technika się sypie: skróć odcinki, wydłuż przerwy, nie dokładaj metrów.</x:v>
      </x:c>
      <x:c r="R295" s="136" t="str">
        <x:v>LIPIEC 2027</x:v>
      </x:c>
      <x:c r="V295" s="227"/>
      <x:c r="W295" s="228"/>
      <x:c r="X295" s="226"/>
      <x:c r="Y295" s="229"/>
      <x:c r="Z295" s="227"/>
      <x:c r="AA295" s="226" t="str">
        <x:f>IF(AND(L295="",M295="",N295="",Z295=""),"",IF(OR(M295&gt;=5,N295&lt;6,L295&gt;=8),"CZERWONY",IF(OR(M295&gt;=3,N295&lt;6.5,L295&gt;=7,Z295&lt;=4),"ŻÓŁTY","OK")))</x:f>
      </x:c>
      <x:c r="AB295" s="226" t="str">
        <x:f>IF(AA295="","",IF(AA295="OK","Realizuj plan normalnie.",IF(AA295="ŻÓŁTY","Skróć 10-30% albo zamień akcent na easy.", "STOP mocne bodźce: wolne/basen/Tacx Z1 48-72 h.")))</x:f>
      </x:c>
    </x:row>
    <x:row r="296">
      <x:c r="A296" s="71" t="n">
        <x:v>46570</x:v>
      </x:c>
      <x:c r="B296" s="72" t="str">
        <x:v>Piątek</x:v>
      </x:c>
      <x:c r="C296" s="72" t="str">
        <x:v>Tydzień 42 (Specyficzna 70.3)</x:v>
      </x:c>
      <x:c r="D296" s="72" t="str">
        <x:v>Race pace, open water, symulacje startowe</x:v>
      </x:c>
      <x:c r="E296" s="72" t="str">
        <x:v>WOLNE</x:v>
      </x:c>
      <x:c r="F296" s="72" t="str">
        <x:v>Pełna regeneracja. Zero nadrabiania. Sprawdź sen, RPE i ból.</x:v>
      </x:c>
      <x:c r="G296" s="72" t="str">
        <x:v>WOLNE</x:v>
      </x:c>
      <x:c r="H296" s="72" t="str">
        <x:v>Adaptacja</x:v>
      </x:c>
      <x:c r="I296" s="72" t="str">
        <x:v>Normalne śniadanie, bez wymuszonego ładowania.</x:v>
      </x:c>
      <x:c r="J296" s="72" t="str">
        <x:v>Warzywa + białko + spokojna porcja węgli.</x:v>
      </x:c>
      <x:c r="K296" s="72" t="str">
        <x:v>Lekko, prosto, sen ważniejszy niż idealne makro.</x:v>
      </x:c>
      <x:c r="L296" s="72"/>
      <x:c r="M296" s="72"/>
      <x:c r="N296" s="72"/>
      <x:c r="O296" s="72"/>
      <x:c r="P296" s="72"/>
      <x:c r="Q296" s="72" t="str">
        <x:v>Nie nadrabiaj zaległości. Regeneracja jest częścią planu.</x:v>
      </x:c>
      <x:c r="V296" s="227"/>
      <x:c r="W296" s="228"/>
      <x:c r="X296" s="226"/>
      <x:c r="Y296" s="229"/>
      <x:c r="Z296" s="227"/>
      <x:c r="AA296" s="226" t="str">
        <x:f>IF(AND(L296="",M296="",N296="",Z296=""),"",IF(OR(M296&gt;=5,N296&lt;6,L296&gt;=8),"CZERWONY",IF(OR(M296&gt;=3,N296&lt;6.5,L296&gt;=7,Z296&lt;=4),"ŻÓŁTY","OK")))</x:f>
      </x:c>
      <x:c r="AB296" s="226" t="str">
        <x:f>IF(AA296="","",IF(AA296="OK","Realizuj plan normalnie.",IF(AA296="ŻÓŁTY","Skróć 10-30% albo zamień akcent na easy.", "STOP mocne bodźce: wolne/basen/Tacx Z1 48-72 h.")))</x:f>
      </x:c>
    </x:row>
    <x:row r="297">
      <x:c r="A297" s="53" t="n">
        <x:v>46571</x:v>
      </x:c>
      <x:c r="B297" s="54" t="str">
        <x:v>Sobota</x:v>
      </x:c>
      <x:c r="C297" s="54" t="str">
        <x:v>Tydzień 42 (Specyficzna 70.3)</x:v>
      </x:c>
      <x:c r="D297" s="54" t="str">
        <x:v>Race pace, open water, symulacje startowe</x:v>
      </x:c>
      <x:c r="E297" s="54" t="str">
        <x:v>START TESTOWY: sprint/olimpijka / symulacja C-priority</x:v>
      </x:c>
      <x:c r="F297" s="54" t="str">
        <x:v>Start testowy w warunkach zbliżonych do zawodów: najlepiej sprint albo olimpijka. Jeśli brak zawodów: open water 750-1500 m + rower 30-40 km + bieg 5-10 km. Priorytet: T1/T2, logistyka, żywienie, jazda w stresie. Nie ścigać na maksa.</x:v>
      </x:c>
      <x:c r="G297" s="54" t="str">
        <x:v>TEST/START</x:v>
      </x:c>
      <x:c r="H297" s="54" t="str">
        <x:v>Test logistyki i przejść</x:v>
      </x:c>
      <x:c r="I297" s="54" t="str">
        <x:v>3 h przed: sprawdzony posiłek węglowodanowy; testuj dokładnie dzień startowy.</x:v>
      </x:c>
      <x:c r="J297" s="54" t="str">
        <x:v>Po teście: ryż/ziemniaki + białko + sól/elektrolity.</x:v>
      </x:c>
      <x:c r="K297" s="54" t="str">
        <x:v>Kolacja regeneracyjna: węgle + białko + warzywa; zapisz tolerancję paliwa.</x:v>
      </x:c>
      <x:c r="L297" s="54"/>
      <x:c r="M297" s="54"/>
      <x:c r="N297" s="54"/>
      <x:c r="O297" s="54"/>
      <x:c r="P297" s="54"/>
      <x:c r="Q297" s="54" t="str">
        <x:v>Jeśli brak zawodów lub pogoda zła: zrób własną symulację C-priority i skróć bieg do 5 km.</x:v>
      </x:c>
      <x:c r="V297" s="227"/>
      <x:c r="W297" s="228"/>
      <x:c r="X297" s="226"/>
      <x:c r="Y297" s="229"/>
      <x:c r="Z297" s="227"/>
      <x:c r="AA297" s="226" t="str">
        <x:f>IF(AND(L297="",M297="",N297="",Z297=""),"",IF(OR(M297&gt;=5,N297&lt;6,L297&gt;=8),"CZERWONY",IF(OR(M297&gt;=3,N297&lt;6.5,L297&gt;=7,Z297&lt;=4),"ŻÓŁTY","OK")))</x:f>
      </x:c>
      <x:c r="AB297" s="226" t="str">
        <x:f>IF(AA297="","",IF(AA297="OK","Realizuj plan normalnie.",IF(AA297="ŻÓŁTY","Skróć 10-30% albo zamień akcent na easy.", "STOP mocne bodźce: wolne/basen/Tacx Z1 48-72 h.")))</x:f>
      </x:c>
    </x:row>
    <x:row r="298">
      <x:c r="A298" s="53" t="n">
        <x:v>46572</x:v>
      </x:c>
      <x:c r="B298" s="54" t="str">
        <x:v>Niedziela</x:v>
      </x:c>
      <x:c r="C298" s="54" t="str">
        <x:v>Tydzień 42 (Specyficzna 70.3)</x:v>
      </x:c>
      <x:c r="D298" s="54" t="str">
        <x:v>Race pace, open water, symulacje startowe</x:v>
      </x:c>
      <x:c r="E298" s="54" t="str">
        <x:v>Bieg regeneracyjny po starcie testowym</x:v>
      </x:c>
      <x:c r="F298" s="54" t="str">
        <x:v>30-50 min bardzo luźno albo spacer. Analiza T1/T2, paliwa i tempa z testu, nie trening jakościowy.</x:v>
      </x:c>
      <x:c r="G298" s="54" t="str">
        <x:v>ŁATWY</x:v>
      </x:c>
      <x:c r="H298" s="54" t="str">
        <x:v>Odbudowa po teście</x:v>
      </x:c>
      <x:c r="I298" s="54" t="str">
        <x:v>2-3 h przed: kleik/ryż/wafle + miód/dżem; mało tłuszczu i błonnika.</x:v>
      </x:c>
      <x:c r="J298" s="54" t="str">
        <x:v>Ryż/ziemniaki/kasza + lekkie białko + warzywa.</x:v>
      </x:c>
      <x:c r="K298" s="54" t="str">
        <x:v>Po: 20-35 g białka + węgle; elektrolity.</x:v>
      </x:c>
      <x:c r="L298" s="54"/>
      <x:c r="M298" s="54"/>
      <x:c r="N298" s="54"/>
      <x:c r="O298" s="54"/>
      <x:c r="P298" s="54"/>
      <x:c r="Q298" s="54" t="str">
        <x:v>Jeśli sobotni rower wszedł ciężko: skróć bieg o 30-50% albo zamień na 40 min easy/spacer.</x:v>
      </x:c>
      <x:c r="V298" s="227"/>
      <x:c r="W298" s="228"/>
      <x:c r="X298" s="226"/>
      <x:c r="Y298" s="229"/>
      <x:c r="Z298" s="227"/>
      <x:c r="AA298" s="226" t="str">
        <x:f>IF(AND(L298="",M298="",N298="",Z298=""),"",IF(OR(M298&gt;=5,N298&lt;6,L298&gt;=8),"CZERWONY",IF(OR(M298&gt;=3,N298&lt;6.5,L298&gt;=7,Z298&lt;=4),"ŻÓŁTY","OK")))</x:f>
      </x:c>
      <x:c r="AB298" s="226" t="str">
        <x:f>IF(AA298="","",IF(AA298="OK","Realizuj plan normalnie.",IF(AA298="ŻÓŁTY","Skróć 10-30% albo zamień akcent na easy.", "STOP mocne bodźce: wolne/basen/Tacx Z1 48-72 h.")))</x:f>
      </x:c>
    </x:row>
    <x:row r="299">
      <x:c r="A299" s="53" t="n">
        <x:v>46573</x:v>
      </x:c>
      <x:c r="B299" s="54" t="str">
        <x:v>Poniedziałek</x:v>
      </x:c>
      <x:c r="C299" s="54" t="str">
        <x:v>Tydzień 43 (Specyficzna 70.3)</x:v>
      </x:c>
      <x:c r="D299" s="54" t="str">
        <x:v>Race pace, open water, symulacje startowe</x:v>
      </x:c>
      <x:c r="E299" s="54" t="str">
        <x:v>Pływanie technika</x:v>
      </x:c>
      <x:c r="F299" s="54" t="str">
        <x:v>Basen 1800-2400 m: technika chwytu + 8x100 m spokojnie. Open water zostaje na czwartek/weekend.</x:v>
      </x:c>
      <x:c r="G299" s="54" t="str">
        <x:v>ŁATWY</x:v>
      </x:c>
      <x:c r="H299" s="54" t="str">
        <x:v>Technika</x:v>
      </x:c>
      <x:c r="I299" s="54" t="str">
        <x:v>Jajka lub jogurt/skyr + owoce; kawa spokojnie.</x:v>
      </x:c>
      <x:c r="J299" s="54" t="str">
        <x:v>Zupa/kasza/ryż + warzywa + białko; nawodnienie.</x:v>
      </x:c>
      <x:c r="K299" s="54" t="str">
        <x:v>Lekka kolacja: ryż/ziemniaki + ryba/tofu/jaja + warzywa.</x:v>
      </x:c>
      <x:c r="L299" s="54"/>
      <x:c r="M299" s="54"/>
      <x:c r="N299" s="54"/>
      <x:c r="O299" s="54"/>
      <x:c r="P299" s="54"/>
      <x:c r="Q299" s="54" t="str">
        <x:v>Jeśli nogi ciężkie: skróć o 20-30% i trzymaj Z1/Z2.</x:v>
      </x:c>
      <x:c r="V299" s="227"/>
      <x:c r="W299" s="228"/>
      <x:c r="X299" s="226"/>
      <x:c r="Y299" s="229"/>
      <x:c r="Z299" s="227"/>
      <x:c r="AA299" s="226" t="str">
        <x:f>IF(AND(L299="",M299="",N299="",Z299=""),"",IF(OR(M299&gt;=5,N299&lt;6,L299&gt;=8),"CZERWONY",IF(OR(M299&gt;=3,N299&lt;6.5,L299&gt;=7,Z299&lt;=4),"ŻÓŁTY","OK")))</x:f>
      </x:c>
      <x:c r="AB299" s="226" t="str">
        <x:f>IF(AA299="","",IF(AA299="OK","Realizuj plan normalnie.",IF(AA299="ŻÓŁTY","Skróć 10-30% albo zamień akcent na easy.", "STOP mocne bodźce: wolne/basen/Tacx Z1 48-72 h.")))</x:f>
      </x:c>
    </x:row>
    <x:row r="300">
      <x:c r="A300" s="53" t="n">
        <x:v>46574</x:v>
      </x:c>
      <x:c r="B300" s="54" t="str">
        <x:v>Wtorek</x:v>
      </x:c>
      <x:c r="C300" s="54" t="str">
        <x:v>Tydzień 43 (Specyficzna 70.3)</x:v>
      </x:c>
      <x:c r="D300" s="54" t="str">
        <x:v>Race pace, open water, symulacje startowe</x:v>
      </x:c>
      <x:c r="E300" s="54" t="str">
        <x:v>Bieg easy + rytmy</x:v>
      </x:c>
      <x:c r="F300" s="54" t="str">
        <x:v>6-8 km easy + 4x20 s rytmy tylko jeśli świeżo. Tydzień lżejszy.</x:v>
      </x:c>
      <x:c r="G300" s="54" t="str">
        <x:v>REGENERACJA</x:v>
      </x:c>
      <x:c r="H300" s="54" t="str">
        <x:v>Odświeżenie</x:v>
      </x:c>
      <x:c r="I300" s="54" t="str">
        <x:v>Normalne śniadanie, bez wymuszonego ładowania.</x:v>
      </x:c>
      <x:c r="J300" s="54" t="str">
        <x:v>Warzywa + białko + spokojna porcja węgli.</x:v>
      </x:c>
      <x:c r="K300" s="54" t="str">
        <x:v>Lekko, prosto, sen ważniejszy niż idealne makro.</x:v>
      </x:c>
      <x:c r="L300" s="54"/>
      <x:c r="M300" s="54"/>
      <x:c r="N300" s="54"/>
      <x:c r="O300" s="54"/>
      <x:c r="P300" s="54"/>
      <x:c r="Q300" s="54" t="str">
        <x:v>Nie nadrabiaj zaległości. Regeneracja jest częścią planu.</x:v>
      </x:c>
      <x:c r="V300" s="227"/>
      <x:c r="W300" s="228"/>
      <x:c r="X300" s="226"/>
      <x:c r="Y300" s="229"/>
      <x:c r="Z300" s="227"/>
      <x:c r="AA300" s="226" t="str">
        <x:f>IF(AND(L300="",M300="",N300="",Z300=""),"",IF(OR(M300&gt;=5,N300&lt;6,L300&gt;=8),"CZERWONY",IF(OR(M300&gt;=3,N300&lt;6.5,L300&gt;=7,Z300&lt;=4),"ŻÓŁTY","OK")))</x:f>
      </x:c>
      <x:c r="AB300" s="226" t="str">
        <x:f>IF(AA300="","",IF(AA300="OK","Realizuj plan normalnie.",IF(AA300="ŻÓŁTY","Skróć 10-30% albo zamień akcent na easy.", "STOP mocne bodźce: wolne/basen/Tacx Z1 48-72 h.")))</x:f>
      </x:c>
    </x:row>
    <x:row r="301">
      <x:c r="A301" s="53" t="n">
        <x:v>46575</x:v>
      </x:c>
      <x:c r="B301" s="54" t="str">
        <x:v>Środa</x:v>
      </x:c>
      <x:c r="C301" s="54" t="str">
        <x:v>Tydzień 43 (Specyficzna 70.3)</x:v>
      </x:c>
      <x:c r="D301" s="54" t="str">
        <x:v>Race pace, open water, symulacje startowe</x:v>
      </x:c>
      <x:c r="E301" s="54" t="str">
        <x:v>Tacx regeneracyjny</x:v>
      </x:c>
      <x:c r="F301" s="54" t="str">
        <x:v>45-60 min Z1/Z2 135-165 W. STAŁY limit regeneracji: bez skalowania minut, bez sweet spot.</x:v>
      </x:c>
      <x:c r="G301" s="54" t="str">
        <x:v>REGENERACJA</x:v>
      </x:c>
      <x:c r="H301" s="54" t="str">
        <x:v>Odświeżenie</x:v>
      </x:c>
      <x:c r="I301" s="54" t="str">
        <x:v>Normalne śniadanie, bez wymuszonego ładowania.</x:v>
      </x:c>
      <x:c r="J301" s="54" t="str">
        <x:v>Warzywa + białko + spokojna porcja węgli.</x:v>
      </x:c>
      <x:c r="K301" s="54" t="str">
        <x:v>Lekko, prosto, sen ważniejszy niż idealne makro.</x:v>
      </x:c>
      <x:c r="L301" s="54"/>
      <x:c r="M301" s="54"/>
      <x:c r="N301" s="54"/>
      <x:c r="O301" s="54"/>
      <x:c r="P301" s="54"/>
      <x:c r="Q301" s="54" t="str">
        <x:v>Nie nadrabiaj zaległości. Regeneracja jest częścią planu.</x:v>
      </x:c>
      <x:c r="V301" s="227"/>
      <x:c r="W301" s="228"/>
      <x:c r="X301" s="226"/>
      <x:c r="Y301" s="229"/>
      <x:c r="Z301" s="227"/>
      <x:c r="AA301" s="226" t="str">
        <x:f>IF(AND(L301="",M301="",N301="",Z301=""),"",IF(OR(M301&gt;=5,N301&lt;6,L301&gt;=8),"CZERWONY",IF(OR(M301&gt;=3,N301&lt;6.5,L301&gt;=7,Z301&lt;=4),"ŻÓŁTY","OK")))</x:f>
      </x:c>
      <x:c r="AB301" s="226" t="str">
        <x:f>IF(AA301="","",IF(AA301="OK","Realizuj plan normalnie.",IF(AA301="ŻÓŁTY","Skróć 10-30% albo zamień akcent na easy.", "STOP mocne bodźce: wolne/basen/Tacx Z1 48-72 h.")))</x:f>
      </x:c>
    </x:row>
    <x:row r="302">
      <x:c r="A302" s="53" t="n">
        <x:v>46576</x:v>
      </x:c>
      <x:c r="B302" s="54" t="str">
        <x:v>Czwartek</x:v>
      </x:c>
      <x:c r="C302" s="54" t="str">
        <x:v>Tydzień 43 (Specyficzna 70.3)</x:v>
      </x:c>
      <x:c r="D302" s="54" t="str">
        <x:v>Race pace, open water, symulacje startowe</x:v>
      </x:c>
      <x:c r="E302" s="54" t="str">
        <x:v>Bieg easy + OPEN WATER</x:v>
      </x:c>
      <x:c r="F302" s="54" t="str">
        <x:v>RANO: 6-10 km easy. WIECZÓR: OPEN WATER 30-50 min: nawigacja, start, nawroty, płynięcie w kontakcie. Co 2-3 tygodnie 1500-1900 m ciągiem.</x:v>
      </x:c>
      <x:c r="G302" s="54" t="str">
        <x:v>ŁATWY</x:v>
      </x:c>
      <x:c r="H302" s="54" t="str">
        <x:v>Adaptacja open water</x:v>
      </x:c>
      <x:c r="I302" s="54" t="str">
        <x:v>Jajka lub jogurt/skyr + owoce; kawa spokojnie.</x:v>
      </x:c>
      <x:c r="J302" s="54" t="str">
        <x:v>Zupa/kasza/ryż + warzywa + białko; nawodnienie.</x:v>
      </x:c>
      <x:c r="K302" s="54" t="str">
        <x:v>Lekka kolacja: ryż/ziemniaki + ryba/tofu/jaja + warzywa.</x:v>
      </x:c>
      <x:c r="L302" s="54"/>
      <x:c r="M302" s="54"/>
      <x:c r="N302" s="54"/>
      <x:c r="O302" s="54"/>
      <x:c r="P302" s="54"/>
      <x:c r="Q302" s="54" t="str">
        <x:v>Jeśli technika się sypie: skróć odcinki, wydłuż przerwy, nie dokładaj metrów.</x:v>
      </x:c>
      <x:c r="V302" s="227"/>
      <x:c r="W302" s="228"/>
      <x:c r="X302" s="226"/>
      <x:c r="Y302" s="229"/>
      <x:c r="Z302" s="227"/>
      <x:c r="AA302" s="226" t="str">
        <x:f>IF(AND(L302="",M302="",N302="",Z302=""),"",IF(OR(M302&gt;=5,N302&lt;6,L302&gt;=8),"CZERWONY",IF(OR(M302&gt;=3,N302&lt;6.5,L302&gt;=7,Z302&lt;=4),"ŻÓŁTY","OK")))</x:f>
      </x:c>
      <x:c r="AB302" s="226" t="str">
        <x:f>IF(AA302="","",IF(AA302="OK","Realizuj plan normalnie.",IF(AA302="ŻÓŁTY","Skróć 10-30% albo zamień akcent na easy.", "STOP mocne bodźce: wolne/basen/Tacx Z1 48-72 h.")))</x:f>
      </x:c>
    </x:row>
    <x:row r="303">
      <x:c r="A303" s="71" t="n">
        <x:v>46577</x:v>
      </x:c>
      <x:c r="B303" s="72" t="str">
        <x:v>Piątek</x:v>
      </x:c>
      <x:c r="C303" s="72" t="str">
        <x:v>Tydzień 43 (Specyficzna 70.3)</x:v>
      </x:c>
      <x:c r="D303" s="72" t="str">
        <x:v>Race pace, open water, symulacje startowe</x:v>
      </x:c>
      <x:c r="E303" s="72" t="str">
        <x:v>WOLNE</x:v>
      </x:c>
      <x:c r="F303" s="72" t="str">
        <x:v>Pełna regeneracja. Zero nadrabiania. Sprawdź sen, RPE i ból.</x:v>
      </x:c>
      <x:c r="G303" s="72" t="str">
        <x:v>WOLNE</x:v>
      </x:c>
      <x:c r="H303" s="72" t="str">
        <x:v>Adaptacja</x:v>
      </x:c>
      <x:c r="I303" s="72" t="str">
        <x:v>Normalne śniadanie, bez wymuszonego ładowania.</x:v>
      </x:c>
      <x:c r="J303" s="72" t="str">
        <x:v>Warzywa + białko + spokojna porcja węgli.</x:v>
      </x:c>
      <x:c r="K303" s="72" t="str">
        <x:v>Lekko, prosto, sen ważniejszy niż idealne makro.</x:v>
      </x:c>
      <x:c r="L303" s="72"/>
      <x:c r="M303" s="72"/>
      <x:c r="N303" s="72"/>
      <x:c r="O303" s="72"/>
      <x:c r="P303" s="72"/>
      <x:c r="Q303" s="72" t="str">
        <x:v>Nie nadrabiaj zaległości. Regeneracja jest częścią planu.</x:v>
      </x:c>
      <x:c r="V303" s="227"/>
      <x:c r="W303" s="228"/>
      <x:c r="X303" s="226"/>
      <x:c r="Y303" s="229"/>
      <x:c r="Z303" s="227"/>
      <x:c r="AA303" s="226" t="str">
        <x:f>IF(AND(L303="",M303="",N303="",Z303=""),"",IF(OR(M303&gt;=5,N303&lt;6,L303&gt;=8),"CZERWONY",IF(OR(M303&gt;=3,N303&lt;6.5,L303&gt;=7,Z303&lt;=4),"ŻÓŁTY","OK")))</x:f>
      </x:c>
      <x:c r="AB303" s="226" t="str">
        <x:f>IF(AA303="","",IF(AA303="OK","Realizuj plan normalnie.",IF(AA303="ŻÓŁTY","Skróć 10-30% albo zamień akcent na easy.", "STOP mocne bodźce: wolne/basen/Tacx Z1 48-72 h.")))</x:f>
      </x:c>
    </x:row>
    <x:row r="304">
      <x:c r="A304" s="53" t="n">
        <x:v>46578</x:v>
      </x:c>
      <x:c r="B304" s="54" t="str">
        <x:v>Sobota</x:v>
      </x:c>
      <x:c r="C304" s="54" t="str">
        <x:v>Tydzień 43 (Specyficzna 70.3)</x:v>
      </x:c>
      <x:c r="D304" s="54" t="str">
        <x:v>Race pace, open water, symulacje startowe</x:v>
      </x:c>
      <x:c r="E304" s="54" t="str">
        <x:v>Rower regeneracyjny</x:v>
      </x:c>
      <x:c r="F304" s="54" t="str">
        <x:v>45-60 min Z1/Z2. Bez T2. To jest prawdziwy tydzień regeneracyjny.</x:v>
      </x:c>
      <x:c r="G304" s="54" t="str">
        <x:v>REGENERACJA</x:v>
      </x:c>
      <x:c r="H304" s="54" t="str">
        <x:v>Zrzut zmęczenia</x:v>
      </x:c>
      <x:c r="I304" s="54" t="str">
        <x:v>Normalne śniadanie, bez wymuszonego ładowania.</x:v>
      </x:c>
      <x:c r="J304" s="54" t="str">
        <x:v>Warzywa + białko + spokojna porcja węgli.</x:v>
      </x:c>
      <x:c r="K304" s="54" t="str">
        <x:v>Lekko, prosto, sen ważniejszy niż idealne makro.</x:v>
      </x:c>
      <x:c r="L304" s="54"/>
      <x:c r="M304" s="54"/>
      <x:c r="N304" s="54"/>
      <x:c r="O304" s="54"/>
      <x:c r="P304" s="54"/>
      <x:c r="Q304" s="54" t="str">
        <x:v>Nie nadrabiaj zaległości. Regeneracja jest częścią planu.</x:v>
      </x:c>
      <x:c r="V304" s="227"/>
      <x:c r="W304" s="228"/>
      <x:c r="X304" s="226"/>
      <x:c r="Y304" s="229"/>
      <x:c r="Z304" s="227"/>
      <x:c r="AA304" s="226" t="str">
        <x:f>IF(AND(L304="",M304="",N304="",Z304=""),"",IF(OR(M304&gt;=5,N304&lt;6,L304&gt;=8),"CZERWONY",IF(OR(M304&gt;=3,N304&lt;6.5,L304&gt;=7,Z304&lt;=4),"ŻÓŁTY","OK")))</x:f>
      </x:c>
      <x:c r="AB304" s="226" t="str">
        <x:f>IF(AA304="","",IF(AA304="OK","Realizuj plan normalnie.",IF(AA304="ŻÓŁTY","Skróć 10-30% albo zamień akcent na easy.", "STOP mocne bodźce: wolne/basen/Tacx Z1 48-72 h.")))</x:f>
      </x:c>
    </x:row>
    <x:row r="305">
      <x:c r="A305" s="53" t="n">
        <x:v>46579</x:v>
      </x:c>
      <x:c r="B305" s="54" t="str">
        <x:v>Niedziela</x:v>
      </x:c>
      <x:c r="C305" s="54" t="str">
        <x:v>Tydzień 43 (Specyficzna 70.3)</x:v>
      </x:c>
      <x:c r="D305" s="54" t="str">
        <x:v>Race pace, open water, symulacje startowe</x:v>
      </x:c>
      <x:c r="E305" s="54" t="str">
        <x:v>Bieg easy krótki</x:v>
      </x:c>
      <x:c r="F305" s="54" t="str">
        <x:v>6-10 km easy 5:45-6:15/km. Tydzień lżejszy, bez ambicji.</x:v>
      </x:c>
      <x:c r="G305" s="54" t="str">
        <x:v>REGENERACJA</x:v>
      </x:c>
      <x:c r="H305" s="54" t="str">
        <x:v>Odświeżenie</x:v>
      </x:c>
      <x:c r="I305" s="54" t="str">
        <x:v>Normalne śniadanie, bez wymuszonego ładowania.</x:v>
      </x:c>
      <x:c r="J305" s="54" t="str">
        <x:v>Warzywa + białko + spokojna porcja węgli.</x:v>
      </x:c>
      <x:c r="K305" s="54" t="str">
        <x:v>Lekko, prosto, sen ważniejszy niż idealne makro.</x:v>
      </x:c>
      <x:c r="L305" s="54"/>
      <x:c r="M305" s="54"/>
      <x:c r="N305" s="54"/>
      <x:c r="O305" s="54"/>
      <x:c r="P305" s="54"/>
      <x:c r="Q305" s="54" t="str">
        <x:v>Nie nadrabiaj zaległości. Regeneracja jest częścią planu.</x:v>
      </x:c>
      <x:c r="V305" s="227"/>
      <x:c r="W305" s="228"/>
      <x:c r="X305" s="226"/>
      <x:c r="Y305" s="229"/>
      <x:c r="Z305" s="227"/>
      <x:c r="AA305" s="226" t="str">
        <x:f>IF(AND(L305="",M305="",N305="",Z305=""),"",IF(OR(M305&gt;=5,N305&lt;6,L305&gt;=8),"CZERWONY",IF(OR(M305&gt;=3,N305&lt;6.5,L305&gt;=7,Z305&lt;=4),"ŻÓŁTY","OK")))</x:f>
      </x:c>
      <x:c r="AB305" s="226" t="str">
        <x:f>IF(AA305="","",IF(AA305="OK","Realizuj plan normalnie.",IF(AA305="ŻÓŁTY","Skróć 10-30% albo zamień akcent na easy.", "STOP mocne bodźce: wolne/basen/Tacx Z1 48-72 h.")))</x:f>
      </x:c>
    </x:row>
    <x:row r="306">
      <x:c r="A306" s="77" t="n">
        <x:v>46580</x:v>
      </x:c>
      <x:c r="B306" s="78" t="str">
        <x:v>Poniedziałek</x:v>
      </x:c>
      <x:c r="C306" s="78" t="str">
        <x:v>Tydzień 44 (Peak / szczyt formy)</x:v>
      </x:c>
      <x:c r="D306" s="78" t="str">
        <x:v>Najbardziej specyficzne jednostki bez przegrzania formy</x:v>
      </x:c>
      <x:c r="E306" s="78" t="str">
        <x:v>Pływanie technika</x:v>
      </x:c>
      <x:c r="F306" s="78" t="str">
        <x:v>Basen 1800-2400 m: technika chwytu + 8x100 m spokojnie. Open water zostaje na czwartek/weekend.</x:v>
      </x:c>
      <x:c r="G306" s="78" t="str">
        <x:v>ŁATWY</x:v>
      </x:c>
      <x:c r="H306" s="78" t="str">
        <x:v>Technika</x:v>
      </x:c>
      <x:c r="I306" s="78" t="str">
        <x:v>Jajka lub jogurt/skyr + owoce; kawa spokojnie.</x:v>
      </x:c>
      <x:c r="J306" s="78" t="str">
        <x:v>Zupa/kasza/ryż + warzywa + białko; nawodnienie.</x:v>
      </x:c>
      <x:c r="K306" s="78" t="str">
        <x:v>Lekka kolacja: ryż/ziemniaki + ryba/tofu/jaja + warzywa.</x:v>
      </x:c>
      <x:c r="L306" s="78"/>
      <x:c r="M306" s="78"/>
      <x:c r="N306" s="78"/>
      <x:c r="O306" s="78"/>
      <x:c r="P306" s="78"/>
      <x:c r="Q306" s="78" t="str">
        <x:v>Jeśli nogi ciężkie: skróć o 20-30% i trzymaj Z1/Z2.</x:v>
      </x:c>
      <x:c r="V306" s="227"/>
      <x:c r="W306" s="228"/>
      <x:c r="X306" s="226"/>
      <x:c r="Y306" s="229"/>
      <x:c r="Z306" s="227"/>
      <x:c r="AA306" s="226" t="str">
        <x:f>IF(AND(L306="",M306="",N306="",Z306=""),"",IF(OR(M306&gt;=5,N306&lt;6,L306&gt;=8),"CZERWONY",IF(OR(M306&gt;=3,N306&lt;6.5,L306&gt;=7,Z306&lt;=4),"ŻÓŁTY","OK")))</x:f>
      </x:c>
      <x:c r="AB306" s="226" t="str">
        <x:f>IF(AA306="","",IF(AA306="OK","Realizuj plan normalnie.",IF(AA306="ŻÓŁTY","Skróć 10-30% albo zamień akcent na easy.", "STOP mocne bodźce: wolne/basen/Tacx Z1 48-72 h.")))</x:f>
      </x:c>
    </x:row>
    <x:row r="307">
      <x:c r="A307" s="53" t="n">
        <x:v>46581</x:v>
      </x:c>
      <x:c r="B307" s="54" t="str">
        <x:v>Wtorek</x:v>
      </x:c>
      <x:c r="C307" s="54" t="str">
        <x:v>Tydzień 44 (Peak / szczyt formy)</x:v>
      </x:c>
      <x:c r="D307" s="54" t="str">
        <x:v>Najbardziej specyficzne jednostki bez przegrzania formy</x:v>
      </x:c>
      <x:c r="E307" s="54" t="str">
        <x:v>Bieg race pace</x:v>
      </x:c>
      <x:c r="F307" s="54" t="str">
        <x:v>10-16 km: 6-10 km w tempie 70.3 4:55-5:05/km. Nie szybciej niż plan.</x:v>
      </x:c>
      <x:c r="G307" s="54" t="str">
        <x:v>MP/RACE PACE</x:v>
      </x:c>
      <x:c r="H307" s="54" t="str">
        <x:v>Specyfika 70.3</x:v>
      </x:c>
      <x:c r="I307" s="54" t="str">
        <x:v>2-3 h przed: kleik/ryż/wafle + miód/dżem; mało tłuszczu i błonnika.</x:v>
      </x:c>
      <x:c r="J307" s="54" t="str">
        <x:v>Ryż/ziemniaki/kasza + lekkie białko + warzywa.</x:v>
      </x:c>
      <x:c r="K307" s="54" t="str">
        <x:v>Po: 20-35 g białka + węgle; elektrolity.</x:v>
      </x:c>
      <x:c r="L307" s="54"/>
      <x:c r="M307" s="54"/>
      <x:c r="N307" s="54"/>
      <x:c r="O307" s="54"/>
      <x:c r="P307" s="54"/>
      <x:c r="Q307" s="54" t="str">
        <x:v>Jeśli ból ≥3/10 lub sen &lt;6 h: zamień na easy 30-45 min albo basen.</x:v>
      </x:c>
      <x:c r="V307" s="227"/>
      <x:c r="W307" s="228"/>
      <x:c r="X307" s="226"/>
      <x:c r="Y307" s="229"/>
      <x:c r="Z307" s="227"/>
      <x:c r="AA307" s="226" t="str">
        <x:f>IF(AND(L307="",M307="",N307="",Z307=""),"",IF(OR(M307&gt;=5,N307&lt;6,L307&gt;=8),"CZERWONY",IF(OR(M307&gt;=3,N307&lt;6.5,L307&gt;=7,Z307&lt;=4),"ŻÓŁTY","OK")))</x:f>
      </x:c>
      <x:c r="AB307" s="226" t="str">
        <x:f>IF(AA307="","",IF(AA307="OK","Realizuj plan normalnie.",IF(AA307="ŻÓŁTY","Skróć 10-30% albo zamień akcent na easy.", "STOP mocne bodźce: wolne/basen/Tacx Z1 48-72 h.")))</x:f>
      </x:c>
    </x:row>
    <x:row r="308">
      <x:c r="A308" s="53" t="n">
        <x:v>46582</x:v>
      </x:c>
      <x:c r="B308" s="54" t="str">
        <x:v>Środa</x:v>
      </x:c>
      <x:c r="C308" s="54" t="str">
        <x:v>Tydzień 44 (Peak / szczyt formy)</x:v>
      </x:c>
      <x:c r="D308" s="54" t="str">
        <x:v>Najbardziej specyficzne jednostki bez przegrzania formy</x:v>
      </x:c>
      <x:c r="E308" s="54" t="str">
        <x:v>TEST FTP / Ramp lub 20 min</x:v>
      </x:c>
      <x:c r="F308" s="54" t="str">
        <x:v>Rozgrzewka 20 min + ramp test albo 20 min FTP + schłodzenie. Po teście aktualizuj strefy watów.</x:v>
      </x:c>
      <x:c r="G308" s="54" t="str">
        <x:v>TEST/START</x:v>
      </x:c>
      <x:c r="H308" s="54" t="str">
        <x:v>Kalibracja mocy</x:v>
      </x:c>
      <x:c r="I308" s="54" t="str">
        <x:v>3 h przed: sprawdzony posiłek węglowodanowy; bez nowych produktów.</x:v>
      </x:c>
      <x:c r="J308" s="54" t="str">
        <x:v>Po treningu: ryż/ziemniaki + białko + sól/elektrolity.</x:v>
      </x:c>
      <x:c r="K308" s="54" t="str">
        <x:v>Kolacja regeneracyjna: węgle + białko + warzywa; uzupełnij płyny.</x:v>
      </x:c>
      <x:c r="L308" s="54"/>
      <x:c r="M308" s="54"/>
      <x:c r="N308" s="54"/>
      <x:c r="O308" s="54"/>
      <x:c r="P308" s="54"/>
      <x:c r="Q308" s="54" t="str">
        <x:v>Jeśli ból ≥3/10 lub sen &lt;6 h: zamień na easy 30-45 min albo basen.</x:v>
      </x:c>
      <x:c r="V308" s="227"/>
      <x:c r="W308" s="228"/>
      <x:c r="X308" s="226"/>
      <x:c r="Y308" s="229"/>
      <x:c r="Z308" s="227"/>
      <x:c r="AA308" s="226" t="str">
        <x:f>IF(AND(L308="",M308="",N308="",Z308=""),"",IF(OR(M308&gt;=5,N308&lt;6,L308&gt;=8),"CZERWONY",IF(OR(M308&gt;=3,N308&lt;6.5,L308&gt;=7,Z308&lt;=4),"ŻÓŁTY","OK")))</x:f>
      </x:c>
      <x:c r="AB308" s="226" t="str">
        <x:f>IF(AA308="","",IF(AA308="OK","Realizuj plan normalnie.",IF(AA308="ŻÓŁTY","Skróć 10-30% albo zamień akcent na easy.", "STOP mocne bodźce: wolne/basen/Tacx Z1 48-72 h.")))</x:f>
      </x:c>
    </x:row>
    <x:row r="309">
      <x:c r="A309" s="77" t="n">
        <x:v>46583</x:v>
      </x:c>
      <x:c r="B309" s="78" t="str">
        <x:v>Czwartek</x:v>
      </x:c>
      <x:c r="C309" s="78" t="str">
        <x:v>Tydzień 44 (Peak / szczyt formy)</x:v>
      </x:c>
      <x:c r="D309" s="78" t="str">
        <x:v>Najbardziej specyficzne jednostki bez przegrzania formy</x:v>
      </x:c>
      <x:c r="E309" s="78" t="str">
        <x:v>Bieg easy + OPEN WATER</x:v>
      </x:c>
      <x:c r="F309" s="78" t="str">
        <x:v>RANO: 6-10 km easy. WIECZÓR: OPEN WATER 35-55 min: pełna próba startowa, nawigacja, wyjście z wody. Jedna próba 1900 m non-stop.</x:v>
      </x:c>
      <x:c r="G309" s="78" t="str">
        <x:v>ŁATWY</x:v>
      </x:c>
      <x:c r="H309" s="78" t="str">
        <x:v>Adaptacja open water</x:v>
      </x:c>
      <x:c r="I309" s="78" t="str">
        <x:v>Jajka lub jogurt/skyr + owoce; kawa spokojnie.</x:v>
      </x:c>
      <x:c r="J309" s="78" t="str">
        <x:v>Zupa/kasza/ryż + warzywa + białko; nawodnienie.</x:v>
      </x:c>
      <x:c r="K309" s="78" t="str">
        <x:v>Lekka kolacja: ryż/ziemniaki + ryba/tofu/jaja + warzywa.</x:v>
      </x:c>
      <x:c r="L309" s="78"/>
      <x:c r="M309" s="78"/>
      <x:c r="N309" s="78"/>
      <x:c r="O309" s="78"/>
      <x:c r="P309" s="78"/>
      <x:c r="Q309" s="78" t="str">
        <x:v>Jeśli technika się sypie: skróć odcinki, wydłuż przerwy, nie dokładaj metrów.</x:v>
      </x:c>
      <x:c r="V309" s="227"/>
      <x:c r="W309" s="228"/>
      <x:c r="X309" s="226"/>
      <x:c r="Y309" s="229"/>
      <x:c r="Z309" s="227"/>
      <x:c r="AA309" s="226" t="str">
        <x:f>IF(AND(L309="",M309="",N309="",Z309=""),"",IF(OR(M309&gt;=5,N309&lt;6,L309&gt;=8),"CZERWONY",IF(OR(M309&gt;=3,N309&lt;6.5,L309&gt;=7,Z309&lt;=4),"ŻÓŁTY","OK")))</x:f>
      </x:c>
      <x:c r="AB309" s="226" t="str">
        <x:f>IF(AA309="","",IF(AA309="OK","Realizuj plan normalnie.",IF(AA309="ŻÓŁTY","Skróć 10-30% albo zamień akcent na easy.", "STOP mocne bodźce: wolne/basen/Tacx Z1 48-72 h.")))</x:f>
      </x:c>
    </x:row>
    <x:row r="310">
      <x:c r="A310" s="71" t="n">
        <x:v>46584</x:v>
      </x:c>
      <x:c r="B310" s="72" t="str">
        <x:v>Piątek</x:v>
      </x:c>
      <x:c r="C310" s="72" t="str">
        <x:v>Tydzień 44 (Peak / szczyt formy)</x:v>
      </x:c>
      <x:c r="D310" s="72" t="str">
        <x:v>Najbardziej specyficzne jednostki bez przegrzania formy</x:v>
      </x:c>
      <x:c r="E310" s="72" t="str">
        <x:v>WOLNE</x:v>
      </x:c>
      <x:c r="F310" s="72" t="str">
        <x:v>Pełna regeneracja. Zero nadrabiania. Sprawdź sen, RPE i ból.</x:v>
      </x:c>
      <x:c r="G310" s="72" t="str">
        <x:v>WOLNE</x:v>
      </x:c>
      <x:c r="H310" s="72" t="str">
        <x:v>Adaptacja</x:v>
      </x:c>
      <x:c r="I310" s="72" t="str">
        <x:v>Normalne śniadanie, bez wymuszonego ładowania.</x:v>
      </x:c>
      <x:c r="J310" s="72" t="str">
        <x:v>Warzywa + białko + spokojna porcja węgli.</x:v>
      </x:c>
      <x:c r="K310" s="72" t="str">
        <x:v>Lekko, prosto, sen ważniejszy niż idealne makro.</x:v>
      </x:c>
      <x:c r="L310" s="72"/>
      <x:c r="M310" s="72"/>
      <x:c r="N310" s="72"/>
      <x:c r="O310" s="72"/>
      <x:c r="P310" s="72"/>
      <x:c r="Q310" s="72" t="str">
        <x:v>Nie nadrabiaj zaległości. Regeneracja jest częścią planu.</x:v>
      </x:c>
      <x:c r="V310" s="227"/>
      <x:c r="W310" s="228"/>
      <x:c r="X310" s="226"/>
      <x:c r="Y310" s="229"/>
      <x:c r="Z310" s="227"/>
      <x:c r="AA310" s="226" t="str">
        <x:f>IF(AND(L310="",M310="",N310="",Z310=""),"",IF(OR(M310&gt;=5,N310&lt;6,L310&gt;=8),"CZERWONY",IF(OR(M310&gt;=3,N310&lt;6.5,L310&gt;=7,Z310&lt;=4),"ŻÓŁTY","OK")))</x:f>
      </x:c>
      <x:c r="AB310" s="226" t="str">
        <x:f>IF(AA310="","",IF(AA310="OK","Realizuj plan normalnie.",IF(AA310="ŻÓŁTY","Skróć 10-30% albo zamień akcent na easy.", "STOP mocne bodźce: wolne/basen/Tacx Z1 48-72 h.")))</x:f>
      </x:c>
    </x:row>
    <x:row r="311">
      <x:c r="A311" s="113" t="n">
        <x:v>46585</x:v>
      </x:c>
      <x:c r="B311" s="107" t="str">
        <x:v>Sobota</x:v>
      </x:c>
      <x:c r="C311" s="107" t="str">
        <x:v>Tydzień 44 (Peak / szczyt formy)</x:v>
      </x:c>
      <x:c r="D311" s="107" t="str">
        <x:v>Najbardziej specyficzne jednostki bez przegrzania formy</x:v>
      </x:c>
      <x:c r="E311" s="107" t="str">
        <x:v>Rower długi + T2 specyficzna</x:v>
      </x:c>
      <x:c r="F311" s="107" t="str">
        <x:v>210 min: większość Z2, 2-3 bloki race pace/aero + 10 km biegu od razu po rowerze. Paliwo 70-90 g węgli/h.</x:v>
      </x:c>
      <x:c r="G311" s="107" t="str">
        <x:v>LONG</x:v>
      </x:c>
      <x:c r="H311" s="107" t="str">
        <x:v>Symulacja 70.3</x:v>
      </x:c>
      <x:c r="I311" s="107" t="str">
        <x:v>3 h przed: sprawdzony posiłek węglowodanowy; bez nowych produktów.</x:v>
      </x:c>
      <x:c r="J311" s="107" t="str">
        <x:v>Po treningu: ryż/ziemniaki + białko + sól/elektrolity.</x:v>
      </x:c>
      <x:c r="K311" s="107" t="str">
        <x:v>Kolacja regeneracyjna: węgle + białko + warzywa; uzupełnij płyny.</x:v>
      </x:c>
      <x:c r="L311" s="107"/>
      <x:c r="M311" s="107"/>
      <x:c r="N311" s="107"/>
      <x:c r="O311" s="107"/>
      <x:c r="P311" s="107"/>
      <x:c r="Q311" s="107" t="str">
        <x:v>Jeśli ból narasta lub RPE &gt;7 przed połową: skróć, nie nadrabiaj kilometrów.</x:v>
      </x:c>
      <x:c r="V311" s="227"/>
      <x:c r="W311" s="228"/>
      <x:c r="X311" s="226"/>
      <x:c r="Y311" s="229"/>
      <x:c r="Z311" s="227"/>
      <x:c r="AA311" s="226" t="str">
        <x:f>IF(AND(L311="",M311="",N311="",Z311=""),"",IF(OR(M311&gt;=5,N311&lt;6,L311&gt;=8),"CZERWONY",IF(OR(M311&gt;=3,N311&lt;6.5,L311&gt;=7,Z311&lt;=4),"ŻÓŁTY","OK")))</x:f>
      </x:c>
      <x:c r="AB311" s="226" t="str">
        <x:f>IF(AA311="","",IF(AA311="OK","Realizuj plan normalnie.",IF(AA311="ŻÓŁTY","Skróć 10-30% albo zamień akcent na easy.", "STOP mocne bodźce: wolne/basen/Tacx Z1 48-72 h.")))</x:f>
      </x:c>
    </x:row>
    <x:row r="312">
      <x:c r="A312" s="65" t="n">
        <x:v>46586</x:v>
      </x:c>
      <x:c r="B312" s="66" t="str">
        <x:v>Niedziela</x:v>
      </x:c>
      <x:c r="C312" s="66" t="str">
        <x:v>Tydzień 44 (Peak / szczyt formy)</x:v>
      </x:c>
      <x:c r="D312" s="66" t="str">
        <x:v>Najbardziej specyficzne jednostki bez przegrzania formy</x:v>
      </x:c>
      <x:c r="E312" s="66" t="str">
        <x:v>Bieg 70.3 kontrolowany</x:v>
      </x:c>
      <x:c r="F312" s="66" t="str">
        <x:v>18-20 km: 12 km easy + 5-6 km w tempie 70.3. Ostatni mocniejszy dłuższy bieg.</x:v>
      </x:c>
      <x:c r="G312" s="66" t="str">
        <x:v>LONG</x:v>
      </x:c>
      <x:c r="H312" s="66" t="str">
        <x:v>Ostatnia specyfika</x:v>
      </x:c>
      <x:c r="I312" s="66" t="str">
        <x:v>Jajka lub jogurt/skyr + owoce; kawa spokojnie.</x:v>
      </x:c>
      <x:c r="J312" s="66" t="str">
        <x:v>Zupa/kasza/ryż + warzywa + białko; nawodnienie.</x:v>
      </x:c>
      <x:c r="K312" s="66" t="str">
        <x:v>Lekka kolacja: ryż/ziemniaki + ryba/tofu/jaja + warzywa.</x:v>
      </x:c>
      <x:c r="L312" s="66"/>
      <x:c r="M312" s="66"/>
      <x:c r="N312" s="66"/>
      <x:c r="O312" s="66"/>
      <x:c r="P312" s="66"/>
      <x:c r="Q312" s="66" t="str">
        <x:v>Jeśli sobotni rower wszedł ciężko: skróć bieg o 30-50% albo zamień na 40 min easy/spacer.</x:v>
      </x:c>
      <x:c r="V312" s="227"/>
      <x:c r="W312" s="228"/>
      <x:c r="X312" s="226"/>
      <x:c r="Y312" s="229"/>
      <x:c r="Z312" s="227"/>
      <x:c r="AA312" s="226" t="str">
        <x:f>IF(AND(L312="",M312="",N312="",Z312=""),"",IF(OR(M312&gt;=5,N312&lt;6,L312&gt;=8),"CZERWONY",IF(OR(M312&gt;=3,N312&lt;6.5,L312&gt;=7,Z312&lt;=4),"ŻÓŁTY","OK")))</x:f>
      </x:c>
      <x:c r="AB312" s="226" t="str">
        <x:f>IF(AA312="","",IF(AA312="OK","Realizuj plan normalnie.",IF(AA312="ŻÓŁTY","Skróć 10-30% albo zamień akcent na easy.", "STOP mocne bodźce: wolne/basen/Tacx Z1 48-72 h.")))</x:f>
      </x:c>
    </x:row>
    <x:row r="313">
      <x:c r="A313" s="77" t="n">
        <x:v>46587</x:v>
      </x:c>
      <x:c r="B313" s="78" t="str">
        <x:v>Poniedziałek</x:v>
      </x:c>
      <x:c r="C313" s="78" t="str">
        <x:v>Tydzień 45 (Peak / szczyt formy)</x:v>
      </x:c>
      <x:c r="D313" s="78" t="str">
        <x:v>Najbardziej specyficzne jednostki bez przegrzania formy</x:v>
      </x:c>
      <x:c r="E313" s="78" t="str">
        <x:v>Pływanie technika</x:v>
      </x:c>
      <x:c r="F313" s="78" t="str">
        <x:v>Basen 1800-2400 m: technika chwytu + 8x100 m spokojnie. Open water zostaje na czwartek/weekend.</x:v>
      </x:c>
      <x:c r="G313" s="78" t="str">
        <x:v>ŁATWY</x:v>
      </x:c>
      <x:c r="H313" s="78" t="str">
        <x:v>Technika</x:v>
      </x:c>
      <x:c r="I313" s="78" t="str">
        <x:v>Jajka lub jogurt/skyr + owoce; kawa spokojnie.</x:v>
      </x:c>
      <x:c r="J313" s="78" t="str">
        <x:v>Zupa/kasza/ryż + warzywa + białko; nawodnienie.</x:v>
      </x:c>
      <x:c r="K313" s="78" t="str">
        <x:v>Lekka kolacja: ryż/ziemniaki + ryba/tofu/jaja + warzywa.</x:v>
      </x:c>
      <x:c r="L313" s="78"/>
      <x:c r="M313" s="78"/>
      <x:c r="N313" s="78"/>
      <x:c r="O313" s="78"/>
      <x:c r="P313" s="78"/>
      <x:c r="Q313" s="78" t="str">
        <x:v>Jeśli nogi ciężkie: skróć o 20-30% i trzymaj Z1/Z2.</x:v>
      </x:c>
      <x:c r="V313" s="227"/>
      <x:c r="W313" s="228"/>
      <x:c r="X313" s="226"/>
      <x:c r="Y313" s="229"/>
      <x:c r="Z313" s="227"/>
      <x:c r="AA313" s="226" t="str">
        <x:f>IF(AND(L313="",M313="",N313="",Z313=""),"",IF(OR(M313&gt;=5,N313&lt;6,L313&gt;=8),"CZERWONY",IF(OR(M313&gt;=3,N313&lt;6.5,L313&gt;=7,Z313&lt;=4),"ŻÓŁTY","OK")))</x:f>
      </x:c>
      <x:c r="AB313" s="226" t="str">
        <x:f>IF(AA313="","",IF(AA313="OK","Realizuj plan normalnie.",IF(AA313="ŻÓŁTY","Skróć 10-30% albo zamień akcent na easy.", "STOP mocne bodźce: wolne/basen/Tacx Z1 48-72 h.")))</x:f>
      </x:c>
    </x:row>
    <x:row r="314">
      <x:c r="A314" s="53" t="n">
        <x:v>46588</x:v>
      </x:c>
      <x:c r="B314" s="54" t="str">
        <x:v>Wtorek</x:v>
      </x:c>
      <x:c r="C314" s="54" t="str">
        <x:v>Tydzień 45 (Peak / szczyt formy)</x:v>
      </x:c>
      <x:c r="D314" s="54" t="str">
        <x:v>Najbardziej specyficzne jednostki bez przegrzania formy</x:v>
      </x:c>
      <x:c r="E314" s="54" t="str">
        <x:v>Bieg race pace</x:v>
      </x:c>
      <x:c r="F314" s="54" t="str">
        <x:v>10-16 km: 6-10 km w tempie 70.3 4:55-5:05/km. Nie szybciej niż plan.</x:v>
      </x:c>
      <x:c r="G314" s="54" t="str">
        <x:v>MP/RACE PACE</x:v>
      </x:c>
      <x:c r="H314" s="54" t="str">
        <x:v>Specyfika 70.3</x:v>
      </x:c>
      <x:c r="I314" s="54" t="str">
        <x:v>2-3 h przed: kleik/ryż/wafle + miód/dżem; mało tłuszczu i błonnika.</x:v>
      </x:c>
      <x:c r="J314" s="54" t="str">
        <x:v>Ryż/ziemniaki/kasza + lekkie białko + warzywa.</x:v>
      </x:c>
      <x:c r="K314" s="54" t="str">
        <x:v>Po: 20-35 g białka + węgle; elektrolity.</x:v>
      </x:c>
      <x:c r="L314" s="54"/>
      <x:c r="M314" s="54"/>
      <x:c r="N314" s="54"/>
      <x:c r="O314" s="54"/>
      <x:c r="P314" s="54"/>
      <x:c r="Q314" s="54" t="str">
        <x:v>Jeśli ból ≥3/10 lub sen &lt;6 h: zamień na easy 30-45 min albo basen.</x:v>
      </x:c>
      <x:c r="V314" s="227"/>
      <x:c r="W314" s="228"/>
      <x:c r="X314" s="226"/>
      <x:c r="Y314" s="229"/>
      <x:c r="Z314" s="227"/>
      <x:c r="AA314" s="226" t="str">
        <x:f>IF(AND(L314="",M314="",N314="",Z314=""),"",IF(OR(M314&gt;=5,N314&lt;6,L314&gt;=8),"CZERWONY",IF(OR(M314&gt;=3,N314&lt;6.5,L314&gt;=7,Z314&lt;=4),"ŻÓŁTY","OK")))</x:f>
      </x:c>
      <x:c r="AB314" s="226" t="str">
        <x:f>IF(AA314="","",IF(AA314="OK","Realizuj plan normalnie.",IF(AA314="ŻÓŁTY","Skróć 10-30% albo zamień akcent na easy.", "STOP mocne bodźce: wolne/basen/Tacx Z1 48-72 h.")))</x:f>
      </x:c>
    </x:row>
    <x:row r="315">
      <x:c r="A315" s="53" t="n">
        <x:v>46589</x:v>
      </x:c>
      <x:c r="B315" s="54" t="str">
        <x:v>Środa</x:v>
      </x:c>
      <x:c r="C315" s="54" t="str">
        <x:v>Tydzień 45 (Peak / szczyt formy)</x:v>
      </x:c>
      <x:c r="D315" s="54" t="str">
        <x:v>Najbardziej specyficzne jednostki bez przegrzania formy</x:v>
      </x:c>
      <x:c r="E315" s="54" t="str">
        <x:v>Rower race pace</x:v>
      </x:c>
      <x:c r="F315" s="54" t="str">
        <x:v>75-105 min: 2x20-30 min w mocy 70.3 po aktualnym FTP. Aero/pozycja jeśli możliwe.</x:v>
      </x:c>
      <x:c r="G315" s="54" t="str">
        <x:v>MP/RACE PACE</x:v>
      </x:c>
      <x:c r="H315" s="54" t="str">
        <x:v>Moc startowa</x:v>
      </x:c>
      <x:c r="I315" s="54" t="str">
        <x:v>2-3 h przed: kleik/ryż/wafle + miód/dżem; mało tłuszczu i błonnika.</x:v>
      </x:c>
      <x:c r="J315" s="54" t="str">
        <x:v>Ryż/ziemniaki/kasza + lekkie białko + warzywa.</x:v>
      </x:c>
      <x:c r="K315" s="54" t="str">
        <x:v>Po: 20-35 g białka + węgle; elektrolity.</x:v>
      </x:c>
      <x:c r="L315" s="54"/>
      <x:c r="M315" s="54"/>
      <x:c r="N315" s="54"/>
      <x:c r="O315" s="54"/>
      <x:c r="P315" s="54"/>
      <x:c r="Q315" s="54" t="str">
        <x:v>Jeśli ból ≥3/10 lub sen &lt;6 h: zamień na easy 30-45 min albo basen.</x:v>
      </x:c>
      <x:c r="V315" s="227"/>
      <x:c r="W315" s="228"/>
      <x:c r="X315" s="226"/>
      <x:c r="Y315" s="229"/>
      <x:c r="Z315" s="227"/>
      <x:c r="AA315" s="226" t="str">
        <x:f>IF(AND(L315="",M315="",N315="",Z315=""),"",IF(OR(M315&gt;=5,N315&lt;6,L315&gt;=8),"CZERWONY",IF(OR(M315&gt;=3,N315&lt;6.5,L315&gt;=7,Z315&lt;=4),"ŻÓŁTY","OK")))</x:f>
      </x:c>
      <x:c r="AB315" s="226" t="str">
        <x:f>IF(AA315="","",IF(AA315="OK","Realizuj plan normalnie.",IF(AA315="ŻÓŁTY","Skróć 10-30% albo zamień akcent na easy.", "STOP mocne bodźce: wolne/basen/Tacx Z1 48-72 h.")))</x:f>
      </x:c>
    </x:row>
    <x:row r="316">
      <x:c r="A316" s="77" t="n">
        <x:v>46590</x:v>
      </x:c>
      <x:c r="B316" s="78" t="str">
        <x:v>Czwartek</x:v>
      </x:c>
      <x:c r="C316" s="78" t="str">
        <x:v>Tydzień 45 (Peak / szczyt formy)</x:v>
      </x:c>
      <x:c r="D316" s="78" t="str">
        <x:v>Najbardziej specyficzne jednostki bez przegrzania formy</x:v>
      </x:c>
      <x:c r="E316" s="78" t="str">
        <x:v>Bieg easy + OPEN WATER</x:v>
      </x:c>
      <x:c r="F316" s="78" t="str">
        <x:v>RANO: 6-10 km easy. WIECZÓR: OPEN WATER 35-55 min: pełna próba startowa, nawigacja, wyjście z wody. Jedna próba 1900 m non-stop.</x:v>
      </x:c>
      <x:c r="G316" s="78" t="str">
        <x:v>ŁATWY</x:v>
      </x:c>
      <x:c r="H316" s="78" t="str">
        <x:v>Adaptacja open water</x:v>
      </x:c>
      <x:c r="I316" s="78" t="str">
        <x:v>Jajka lub jogurt/skyr + owoce; kawa spokojnie.</x:v>
      </x:c>
      <x:c r="J316" s="78" t="str">
        <x:v>Zupa/kasza/ryż + warzywa + białko; nawodnienie.</x:v>
      </x:c>
      <x:c r="K316" s="78" t="str">
        <x:v>Lekka kolacja: ryż/ziemniaki + ryba/tofu/jaja + warzywa.</x:v>
      </x:c>
      <x:c r="L316" s="78"/>
      <x:c r="M316" s="78"/>
      <x:c r="N316" s="78"/>
      <x:c r="O316" s="78"/>
      <x:c r="P316" s="78"/>
      <x:c r="Q316" s="78" t="str">
        <x:v>Jeśli technika się sypie: skróć odcinki, wydłuż przerwy, nie dokładaj metrów.</x:v>
      </x:c>
      <x:c r="V316" s="227"/>
      <x:c r="W316" s="228"/>
      <x:c r="X316" s="226"/>
      <x:c r="Y316" s="229"/>
      <x:c r="Z316" s="227"/>
      <x:c r="AA316" s="226" t="str">
        <x:f>IF(AND(L316="",M316="",N316="",Z316=""),"",IF(OR(M316&gt;=5,N316&lt;6,L316&gt;=8),"CZERWONY",IF(OR(M316&gt;=3,N316&lt;6.5,L316&gt;=7,Z316&lt;=4),"ŻÓŁTY","OK")))</x:f>
      </x:c>
      <x:c r="AB316" s="226" t="str">
        <x:f>IF(AA316="","",IF(AA316="OK","Realizuj plan normalnie.",IF(AA316="ŻÓŁTY","Skróć 10-30% albo zamień akcent na easy.", "STOP mocne bodźce: wolne/basen/Tacx Z1 48-72 h.")))</x:f>
      </x:c>
    </x:row>
    <x:row r="317">
      <x:c r="A317" s="71" t="n">
        <x:v>46591</x:v>
      </x:c>
      <x:c r="B317" s="72" t="str">
        <x:v>Piątek</x:v>
      </x:c>
      <x:c r="C317" s="72" t="str">
        <x:v>Tydzień 45 (Peak / szczyt formy)</x:v>
      </x:c>
      <x:c r="D317" s="72" t="str">
        <x:v>Najbardziej specyficzne jednostki bez przegrzania formy</x:v>
      </x:c>
      <x:c r="E317" s="72" t="str">
        <x:v>WOLNE</x:v>
      </x:c>
      <x:c r="F317" s="72" t="str">
        <x:v>Pełna regeneracja. Zero nadrabiania. Sprawdź sen, RPE i ból.</x:v>
      </x:c>
      <x:c r="G317" s="72" t="str">
        <x:v>WOLNE</x:v>
      </x:c>
      <x:c r="H317" s="72" t="str">
        <x:v>Adaptacja</x:v>
      </x:c>
      <x:c r="I317" s="72" t="str">
        <x:v>Normalne śniadanie, bez wymuszonego ładowania.</x:v>
      </x:c>
      <x:c r="J317" s="72" t="str">
        <x:v>Warzywa + białko + spokojna porcja węgli.</x:v>
      </x:c>
      <x:c r="K317" s="72" t="str">
        <x:v>Lekko, prosto, sen ważniejszy niż idealne makro.</x:v>
      </x:c>
      <x:c r="L317" s="72"/>
      <x:c r="M317" s="72"/>
      <x:c r="N317" s="72"/>
      <x:c r="O317" s="72"/>
      <x:c r="P317" s="72"/>
      <x:c r="Q317" s="72" t="str">
        <x:v>Nie nadrabiaj zaległości. Regeneracja jest częścią planu.</x:v>
      </x:c>
      <x:c r="V317" s="227"/>
      <x:c r="W317" s="228"/>
      <x:c r="X317" s="226"/>
      <x:c r="Y317" s="229"/>
      <x:c r="Z317" s="227"/>
      <x:c r="AA317" s="226" t="str">
        <x:f>IF(AND(L317="",M317="",N317="",Z317=""),"",IF(OR(M317&gt;=5,N317&lt;6,L317&gt;=8),"CZERWONY",IF(OR(M317&gt;=3,N317&lt;6.5,L317&gt;=7,Z317&lt;=4),"ŻÓŁTY","OK")))</x:f>
      </x:c>
      <x:c r="AB317" s="226" t="str">
        <x:f>IF(AA317="","",IF(AA317="OK","Realizuj plan normalnie.",IF(AA317="ŻÓŁTY","Skróć 10-30% albo zamień akcent na easy.", "STOP mocne bodźce: wolne/basen/Tacx Z1 48-72 h.")))</x:f>
      </x:c>
    </x:row>
    <x:row r="318">
      <x:c r="A318" s="113" t="n">
        <x:v>46592</x:v>
      </x:c>
      <x:c r="B318" s="107" t="str">
        <x:v>Sobota</x:v>
      </x:c>
      <x:c r="C318" s="107" t="str">
        <x:v>Tydzień 45 (Peak / szczyt formy)</x:v>
      </x:c>
      <x:c r="D318" s="107" t="str">
        <x:v>Najbardziej specyficzne jednostki bez przegrzania formy</x:v>
      </x:c>
      <x:c r="E318" s="107" t="str">
        <x:v>Rower długi + T2 specyficzna</x:v>
      </x:c>
      <x:c r="F318" s="107" t="str">
        <x:v>220 min: najważniejsza symulacja: race pace/aero, paliwo 70-90 g węgli/h + 10 km T2. Twardy cap roweru: max 210-220 min; jakość &gt; objętość. Paliwo 70-90 g węgli/h.</x:v>
      </x:c>
      <x:c r="G318" s="107" t="str">
        <x:v>LONG</x:v>
      </x:c>
      <x:c r="H318" s="107" t="str">
        <x:v>Rower + adaptacja T2</x:v>
      </x:c>
      <x:c r="I318" s="107" t="str">
        <x:v>3 h przed: sprawdzony posiłek węglowodanowy; bez nowych produktów.</x:v>
      </x:c>
      <x:c r="J318" s="107" t="str">
        <x:v>Po treningu: ryż/ziemniaki + białko + sól/elektrolity.</x:v>
      </x:c>
      <x:c r="K318" s="107" t="str">
        <x:v>Kolacja regeneracyjna: węgle + białko + warzywa; uzupełnij płyny.</x:v>
      </x:c>
      <x:c r="L318" s="107"/>
      <x:c r="M318" s="107"/>
      <x:c r="N318" s="107"/>
      <x:c r="O318" s="107"/>
      <x:c r="P318" s="107"/>
      <x:c r="Q318" s="107" t="str">
        <x:v>Jeśli RPE &gt;7, ból narasta lub paliwo nie wchodzi: skróć T2, nie wydłużaj roweru.</x:v>
      </x:c>
      <x:c r="V318" s="227"/>
      <x:c r="W318" s="228"/>
      <x:c r="X318" s="226"/>
      <x:c r="Y318" s="229"/>
      <x:c r="Z318" s="227"/>
      <x:c r="AA318" s="226" t="str">
        <x:f>IF(AND(L318="",M318="",N318="",Z318=""),"",IF(OR(M318&gt;=5,N318&lt;6,L318&gt;=8),"CZERWONY",IF(OR(M318&gt;=3,N318&lt;6.5,L318&gt;=7,Z318&lt;=4),"ŻÓŁTY","OK")))</x:f>
      </x:c>
      <x:c r="AB318" s="226" t="str">
        <x:f>IF(AA318="","",IF(AA318="OK","Realizuj plan normalnie.",IF(AA318="ŻÓŁTY","Skróć 10-30% albo zamień akcent na easy.", "STOP mocne bodźce: wolne/basen/Tacx Z1 48-72 h.")))</x:f>
      </x:c>
    </x:row>
    <x:row r="319">
      <x:c r="A319" s="65" t="n">
        <x:v>46593</x:v>
      </x:c>
      <x:c r="B319" s="66" t="str">
        <x:v>Niedziela</x:v>
      </x:c>
      <x:c r="C319" s="66" t="str">
        <x:v>Tydzień 45 (Peak / szczyt formy)</x:v>
      </x:c>
      <x:c r="D319" s="66" t="str">
        <x:v>Najbardziej specyficzne jednostki bez przegrzania formy</x:v>
      </x:c>
      <x:c r="E319" s="66" t="str">
        <x:v>Bieg po symulacji roweru</x:v>
      </x:c>
      <x:c r="F319" s="66" t="str">
        <x:v>14-16 km easy, bez dokładania tempa. Priorytet: regeneracja po kluczowej sobotniej symulacji.</x:v>
      </x:c>
      <x:c r="G319" s="66" t="str">
        <x:v>ŁATWY</x:v>
      </x:c>
      <x:c r="H319" s="66" t="str">
        <x:v>Adaptacja po symulacji</x:v>
      </x:c>
      <x:c r="I319" s="66" t="str">
        <x:v>Jajka lub jogurt/skyr + owoce; kawa spokojnie.</x:v>
      </x:c>
      <x:c r="J319" s="66" t="str">
        <x:v>Zupa/kasza/ryż + warzywa + białko; nawodnienie.</x:v>
      </x:c>
      <x:c r="K319" s="66" t="str">
        <x:v>Lekka kolacja: ryż/ziemniaki + ryba/tofu/jaja + warzywa.</x:v>
      </x:c>
      <x:c r="L319" s="66"/>
      <x:c r="M319" s="66"/>
      <x:c r="N319" s="66"/>
      <x:c r="O319" s="66"/>
      <x:c r="P319" s="66"/>
      <x:c r="Q319" s="66" t="str">
        <x:v>Jeśli sobotni rower wszedł ciężko: skróć bieg o 30-50% albo zamień na 40 min easy/spacer.</x:v>
      </x:c>
      <x:c r="V319" s="227"/>
      <x:c r="W319" s="228"/>
      <x:c r="X319" s="226"/>
      <x:c r="Y319" s="229"/>
      <x:c r="Z319" s="227"/>
      <x:c r="AA319" s="226" t="str">
        <x:f>IF(AND(L319="",M319="",N319="",Z319=""),"",IF(OR(M319&gt;=5,N319&lt;6,L319&gt;=8),"CZERWONY",IF(OR(M319&gt;=3,N319&lt;6.5,L319&gt;=7,Z319&lt;=4),"ŻÓŁTY","OK")))</x:f>
      </x:c>
      <x:c r="AB319" s="226" t="str">
        <x:f>IF(AA319="","",IF(AA319="OK","Realizuj plan normalnie.",IF(AA319="ŻÓŁTY","Skróć 10-30% albo zamień akcent na easy.", "STOP mocne bodźce: wolne/basen/Tacx Z1 48-72 h.")))</x:f>
      </x:c>
    </x:row>
    <x:row r="320">
      <x:c r="A320" s="77" t="n">
        <x:v>46594</x:v>
      </x:c>
      <x:c r="B320" s="78" t="str">
        <x:v>Poniedziałek</x:v>
      </x:c>
      <x:c r="C320" s="78" t="str">
        <x:v>Tydzień 46 (Peak / szczyt formy)</x:v>
      </x:c>
      <x:c r="D320" s="78" t="str">
        <x:v>Najbardziej specyficzne jednostki bez przegrzania formy</x:v>
      </x:c>
      <x:c r="E320" s="78" t="str">
        <x:v>Pływanie technika</x:v>
      </x:c>
      <x:c r="F320" s="78" t="str">
        <x:v>Basen 1800-2400 m: technika chwytu + 8x100 m spokojnie. Open water zostaje na czwartek/weekend.</x:v>
      </x:c>
      <x:c r="G320" s="78" t="str">
        <x:v>ŁATWY</x:v>
      </x:c>
      <x:c r="H320" s="78" t="str">
        <x:v>Technika</x:v>
      </x:c>
      <x:c r="I320" s="78" t="str">
        <x:v>Jajka lub jogurt/skyr + owoce; kawa spokojnie.</x:v>
      </x:c>
      <x:c r="J320" s="78" t="str">
        <x:v>Zupa/kasza/ryż + warzywa + białko; nawodnienie.</x:v>
      </x:c>
      <x:c r="K320" s="78" t="str">
        <x:v>Lekka kolacja: ryż/ziemniaki + ryba/tofu/jaja + warzywa.</x:v>
      </x:c>
      <x:c r="L320" s="78"/>
      <x:c r="M320" s="78"/>
      <x:c r="N320" s="78"/>
      <x:c r="O320" s="78"/>
      <x:c r="P320" s="78"/>
      <x:c r="Q320" s="78" t="str">
        <x:v>Jeśli nogi ciężkie: skróć o 20-30% i trzymaj Z1/Z2.</x:v>
      </x:c>
      <x:c r="V320" s="227"/>
      <x:c r="W320" s="228"/>
      <x:c r="X320" s="226"/>
      <x:c r="Y320" s="229"/>
      <x:c r="Z320" s="227"/>
      <x:c r="AA320" s="226" t="str">
        <x:f>IF(AND(L320="",M320="",N320="",Z320=""),"",IF(OR(M320&gt;=5,N320&lt;6,L320&gt;=8),"CZERWONY",IF(OR(M320&gt;=3,N320&lt;6.5,L320&gt;=7,Z320&lt;=4),"ŻÓŁTY","OK")))</x:f>
      </x:c>
      <x:c r="AB320" s="226" t="str">
        <x:f>IF(AA320="","",IF(AA320="OK","Realizuj plan normalnie.",IF(AA320="ŻÓŁTY","Skróć 10-30% albo zamień akcent na easy.", "STOP mocne bodźce: wolne/basen/Tacx Z1 48-72 h.")))</x:f>
      </x:c>
    </x:row>
    <x:row r="321">
      <x:c r="A321" s="53" t="n">
        <x:v>46595</x:v>
      </x:c>
      <x:c r="B321" s="54" t="str">
        <x:v>Wtorek</x:v>
      </x:c>
      <x:c r="C321" s="54" t="str">
        <x:v>Tydzień 46 (Peak / szczyt formy)</x:v>
      </x:c>
      <x:c r="D321" s="54" t="str">
        <x:v>Najbardziej specyficzne jednostki bez przegrzania formy</x:v>
      </x:c>
      <x:c r="E321" s="54" t="str">
        <x:v>Bieg race pace</x:v>
      </x:c>
      <x:c r="F321" s="54" t="str">
        <x:v>10-16 km: 6-10 km w tempie 70.3 4:55-5:05/km. Nie szybciej niż plan.</x:v>
      </x:c>
      <x:c r="G321" s="54" t="str">
        <x:v>MP/RACE PACE</x:v>
      </x:c>
      <x:c r="H321" s="54" t="str">
        <x:v>Specyfika 70.3</x:v>
      </x:c>
      <x:c r="I321" s="54" t="str">
        <x:v>2-3 h przed: kleik/ryż/wafle + miód/dżem; mało tłuszczu i błonnika.</x:v>
      </x:c>
      <x:c r="J321" s="54" t="str">
        <x:v>Ryż/ziemniaki/kasza + lekkie białko + warzywa.</x:v>
      </x:c>
      <x:c r="K321" s="54" t="str">
        <x:v>Po: 20-35 g białka + węgle; elektrolity.</x:v>
      </x:c>
      <x:c r="L321" s="54"/>
      <x:c r="M321" s="54"/>
      <x:c r="N321" s="54"/>
      <x:c r="O321" s="54"/>
      <x:c r="P321" s="54"/>
      <x:c r="Q321" s="54" t="str">
        <x:v>Jeśli ból ≥3/10 lub sen &lt;6 h: zamień na easy 30-45 min albo basen.</x:v>
      </x:c>
      <x:c r="V321" s="227"/>
      <x:c r="W321" s="228"/>
      <x:c r="X321" s="226"/>
      <x:c r="Y321" s="229"/>
      <x:c r="Z321" s="227"/>
      <x:c r="AA321" s="226" t="str">
        <x:f>IF(AND(L321="",M321="",N321="",Z321=""),"",IF(OR(M321&gt;=5,N321&lt;6,L321&gt;=8),"CZERWONY",IF(OR(M321&gt;=3,N321&lt;6.5,L321&gt;=7,Z321&lt;=4),"ŻÓŁTY","OK")))</x:f>
      </x:c>
      <x:c r="AB321" s="226" t="str">
        <x:f>IF(AA321="","",IF(AA321="OK","Realizuj plan normalnie.",IF(AA321="ŻÓŁTY","Skróć 10-30% albo zamień akcent na easy.", "STOP mocne bodźce: wolne/basen/Tacx Z1 48-72 h.")))</x:f>
      </x:c>
    </x:row>
    <x:row r="322">
      <x:c r="A322" s="53" t="n">
        <x:v>46596</x:v>
      </x:c>
      <x:c r="B322" s="54" t="str">
        <x:v>Środa</x:v>
      </x:c>
      <x:c r="C322" s="54" t="str">
        <x:v>Tydzień 46 (Peak / szczyt formy)</x:v>
      </x:c>
      <x:c r="D322" s="54" t="str">
        <x:v>Najbardziej specyficzne jednostki bez przegrzania formy</x:v>
      </x:c>
      <x:c r="E322" s="54" t="str">
        <x:v>Rower race pace</x:v>
      </x:c>
      <x:c r="F322" s="54" t="str">
        <x:v>75-105 min: 2x20-30 min w mocy 70.3 po aktualnym FTP. Aero/pozycja jeśli możliwe.</x:v>
      </x:c>
      <x:c r="G322" s="54" t="str">
        <x:v>MP/RACE PACE</x:v>
      </x:c>
      <x:c r="H322" s="54" t="str">
        <x:v>Moc startowa</x:v>
      </x:c>
      <x:c r="I322" s="54" t="str">
        <x:v>2-3 h przed: kleik/ryż/wafle + miód/dżem; mało tłuszczu i błonnika.</x:v>
      </x:c>
      <x:c r="J322" s="54" t="str">
        <x:v>Ryż/ziemniaki/kasza + lekkie białko + warzywa.</x:v>
      </x:c>
      <x:c r="K322" s="54" t="str">
        <x:v>Po: 20-35 g białka + węgle; elektrolity.</x:v>
      </x:c>
      <x:c r="L322" s="54"/>
      <x:c r="M322" s="54"/>
      <x:c r="N322" s="54"/>
      <x:c r="O322" s="54"/>
      <x:c r="P322" s="54"/>
      <x:c r="Q322" s="54" t="str">
        <x:v>Jeśli ból ≥3/10 lub sen &lt;6 h: zamień na easy 30-45 min albo basen.</x:v>
      </x:c>
      <x:c r="V322" s="227"/>
      <x:c r="W322" s="228"/>
      <x:c r="X322" s="226"/>
      <x:c r="Y322" s="229"/>
      <x:c r="Z322" s="227"/>
      <x:c r="AA322" s="226" t="str">
        <x:f>IF(AND(L322="",M322="",N322="",Z322=""),"",IF(OR(M322&gt;=5,N322&lt;6,L322&gt;=8),"CZERWONY",IF(OR(M322&gt;=3,N322&lt;6.5,L322&gt;=7,Z322&lt;=4),"ŻÓŁTY","OK")))</x:f>
      </x:c>
      <x:c r="AB322" s="226" t="str">
        <x:f>IF(AA322="","",IF(AA322="OK","Realizuj plan normalnie.",IF(AA322="ŻÓŁTY","Skróć 10-30% albo zamień akcent na easy.", "STOP mocne bodźce: wolne/basen/Tacx Z1 48-72 h.")))</x:f>
      </x:c>
    </x:row>
    <x:row r="323">
      <x:c r="A323" s="77" t="n">
        <x:v>46597</x:v>
      </x:c>
      <x:c r="B323" s="78" t="str">
        <x:v>Czwartek</x:v>
      </x:c>
      <x:c r="C323" s="78" t="str">
        <x:v>Tydzień 46 (Peak / szczyt formy)</x:v>
      </x:c>
      <x:c r="D323" s="78" t="str">
        <x:v>Najbardziej specyficzne jednostki bez przegrzania formy</x:v>
      </x:c>
      <x:c r="E323" s="78" t="str">
        <x:v>Bieg easy + OPEN WATER</x:v>
      </x:c>
      <x:c r="F323" s="78" t="str">
        <x:v>RANO: 6-10 km easy. WIECZÓR: OPEN WATER 35-55 min: pełna próba startowa, nawigacja, wyjście z wody. Jedna próba 1900 m non-stop.</x:v>
      </x:c>
      <x:c r="G323" s="78" t="str">
        <x:v>ŁATWY</x:v>
      </x:c>
      <x:c r="H323" s="78" t="str">
        <x:v>Adaptacja open water</x:v>
      </x:c>
      <x:c r="I323" s="78" t="str">
        <x:v>Jajka lub jogurt/skyr + owoce; kawa spokojnie.</x:v>
      </x:c>
      <x:c r="J323" s="78" t="str">
        <x:v>Zupa/kasza/ryż + warzywa + białko; nawodnienie.</x:v>
      </x:c>
      <x:c r="K323" s="78" t="str">
        <x:v>Lekka kolacja: ryż/ziemniaki + ryba/tofu/jaja + warzywa.</x:v>
      </x:c>
      <x:c r="L323" s="78"/>
      <x:c r="M323" s="78"/>
      <x:c r="N323" s="78"/>
      <x:c r="O323" s="78"/>
      <x:c r="P323" s="78"/>
      <x:c r="Q323" s="78" t="str">
        <x:v>Jeśli technika się sypie: skróć odcinki, wydłuż przerwy, nie dokładaj metrów.</x:v>
      </x:c>
      <x:c r="V323" s="227"/>
      <x:c r="W323" s="228"/>
      <x:c r="X323" s="226"/>
      <x:c r="Y323" s="229"/>
      <x:c r="Z323" s="227"/>
      <x:c r="AA323" s="226" t="str">
        <x:f>IF(AND(L323="",M323="",N323="",Z323=""),"",IF(OR(M323&gt;=5,N323&lt;6,L323&gt;=8),"CZERWONY",IF(OR(M323&gt;=3,N323&lt;6.5,L323&gt;=7,Z323&lt;=4),"ŻÓŁTY","OK")))</x:f>
      </x:c>
      <x:c r="AB323" s="226" t="str">
        <x:f>IF(AA323="","",IF(AA323="OK","Realizuj plan normalnie.",IF(AA323="ŻÓŁTY","Skróć 10-30% albo zamień akcent na easy.", "STOP mocne bodźce: wolne/basen/Tacx Z1 48-72 h.")))</x:f>
      </x:c>
    </x:row>
    <x:row r="324">
      <x:c r="A324" s="71" t="n">
        <x:v>46598</x:v>
      </x:c>
      <x:c r="B324" s="72" t="str">
        <x:v>Piątek</x:v>
      </x:c>
      <x:c r="C324" s="72" t="str">
        <x:v>Tydzień 46 (Peak / szczyt formy)</x:v>
      </x:c>
      <x:c r="D324" s="72" t="str">
        <x:v>Najbardziej specyficzne jednostki bez przegrzania formy</x:v>
      </x:c>
      <x:c r="E324" s="72" t="str">
        <x:v>WOLNE</x:v>
      </x:c>
      <x:c r="F324" s="72" t="str">
        <x:v>Pełna regeneracja. Zero nadrabiania. Sprawdź sen, RPE i ból.</x:v>
      </x:c>
      <x:c r="G324" s="72" t="str">
        <x:v>WOLNE</x:v>
      </x:c>
      <x:c r="H324" s="72" t="str">
        <x:v>Adaptacja</x:v>
      </x:c>
      <x:c r="I324" s="72" t="str">
        <x:v>Normalne śniadanie, bez wymuszonego ładowania.</x:v>
      </x:c>
      <x:c r="J324" s="72" t="str">
        <x:v>Warzywa + białko + spokojna porcja węgli.</x:v>
      </x:c>
      <x:c r="K324" s="72" t="str">
        <x:v>Lekko, prosto, sen ważniejszy niż idealne makro.</x:v>
      </x:c>
      <x:c r="L324" s="72"/>
      <x:c r="M324" s="72"/>
      <x:c r="N324" s="72"/>
      <x:c r="O324" s="72"/>
      <x:c r="P324" s="72"/>
      <x:c r="Q324" s="72" t="str">
        <x:v>Nie nadrabiaj zaległości. Regeneracja jest częścią planu.</x:v>
      </x:c>
      <x:c r="V324" s="227"/>
      <x:c r="W324" s="228"/>
      <x:c r="X324" s="226"/>
      <x:c r="Y324" s="229"/>
      <x:c r="Z324" s="227"/>
      <x:c r="AA324" s="226" t="str">
        <x:f>IF(AND(L324="",M324="",N324="",Z324=""),"",IF(OR(M324&gt;=5,N324&lt;6,L324&gt;=8),"CZERWONY",IF(OR(M324&gt;=3,N324&lt;6.5,L324&gt;=7,Z324&lt;=4),"ŻÓŁTY","OK")))</x:f>
      </x:c>
      <x:c r="AB324" s="226" t="str">
        <x:f>IF(AA324="","",IF(AA324="OK","Realizuj plan normalnie.",IF(AA324="ŻÓŁTY","Skróć 10-30% albo zamień akcent na easy.", "STOP mocne bodźce: wolne/basen/Tacx Z1 48-72 h.")))</x:f>
      </x:c>
    </x:row>
    <x:row r="325">
      <x:c r="A325" s="113" t="n">
        <x:v>46599</x:v>
      </x:c>
      <x:c r="B325" s="107" t="str">
        <x:v>Sobota</x:v>
      </x:c>
      <x:c r="C325" s="107" t="str">
        <x:v>Tydzień 46 (Peak / szczyt formy)</x:v>
      </x:c>
      <x:c r="D325" s="107" t="str">
        <x:v>Najbardziej specyficzne jednostki bez przegrzania formy</x:v>
      </x:c>
      <x:c r="E325" s="107" t="str">
        <x:v>Rower długi + T2 specyficzna</x:v>
      </x:c>
      <x:c r="F325" s="107" t="str">
        <x:v>180 min: większość Z2, 2-3 bloki race pace/aero + 8 km biegu od razu po rowerze. Paliwo 70-90 g węgli/h.</x:v>
      </x:c>
      <x:c r="G325" s="107" t="str">
        <x:v>LONG</x:v>
      </x:c>
      <x:c r="H325" s="107" t="str">
        <x:v>Symulacja 70.3</x:v>
      </x:c>
      <x:c r="I325" s="107" t="str">
        <x:v>3 h przed: sprawdzony posiłek węglowodanowy; bez nowych produktów.</x:v>
      </x:c>
      <x:c r="J325" s="107" t="str">
        <x:v>Po treningu: ryż/ziemniaki + białko + sól/elektrolity.</x:v>
      </x:c>
      <x:c r="K325" s="107" t="str">
        <x:v>Kolacja regeneracyjna: węgle + białko + warzywa; uzupełnij płyny.</x:v>
      </x:c>
      <x:c r="L325" s="107"/>
      <x:c r="M325" s="107"/>
      <x:c r="N325" s="107"/>
      <x:c r="O325" s="107"/>
      <x:c r="P325" s="107"/>
      <x:c r="Q325" s="107" t="str">
        <x:v>Jeśli ból narasta lub RPE &gt;7 przed połową: skróć, nie nadrabiaj kilometrów.</x:v>
      </x:c>
      <x:c r="V325" s="227"/>
      <x:c r="W325" s="228"/>
      <x:c r="X325" s="226"/>
      <x:c r="Y325" s="229"/>
      <x:c r="Z325" s="227"/>
      <x:c r="AA325" s="226" t="str">
        <x:f>IF(AND(L325="",M325="",N325="",Z325=""),"",IF(OR(M325&gt;=5,N325&lt;6,L325&gt;=8),"CZERWONY",IF(OR(M325&gt;=3,N325&lt;6.5,L325&gt;=7,Z325&lt;=4),"ŻÓŁTY","OK")))</x:f>
      </x:c>
      <x:c r="AB325" s="226" t="str">
        <x:f>IF(AA325="","",IF(AA325="OK","Realizuj plan normalnie.",IF(AA325="ŻÓŁTY","Skróć 10-30% albo zamień akcent na easy.", "STOP mocne bodźce: wolne/basen/Tacx Z1 48-72 h.")))</x:f>
      </x:c>
    </x:row>
    <x:row r="326" ht="26" customHeight="1">
      <x:c r="A326" s="148" t="n">
        <x:v>46600</x:v>
      </x:c>
      <x:c r="B326" s="149" t="str">
        <x:v>Niedziela</x:v>
      </x:c>
      <x:c r="C326" s="149" t="str">
        <x:v>Tydzień 46 (Peak / szczyt formy)</x:v>
      </x:c>
      <x:c r="D326" s="166" t="str">
        <x:v>Najbardziej specyficzne jednostki bez przegrzania formy</x:v>
      </x:c>
      <x:c r="E326" s="166" t="str">
        <x:v>Bieg długi skrócony</x:v>
      </x:c>
      <x:c r="F326" s="166" t="str">
        <x:v>14-18 km easy z 3 km w tempie 70.3 tylko jeśli nogi świeże. Nie budować już objętości.</x:v>
      </x:c>
      <x:c r="G326" s="166" t="str">
        <x:v>ŁATWY</x:v>
      </x:c>
      <x:c r="H326" s="166" t="str">
        <x:v>Podtrzymanie</x:v>
      </x:c>
      <x:c r="I326" s="166" t="str">
        <x:v>Jajka lub jogurt/skyr + owoce; kawa spokojnie.</x:v>
      </x:c>
      <x:c r="J326" s="166" t="str">
        <x:v>Zupa/kasza/ryż + warzywa + białko; nawodnienie.</x:v>
      </x:c>
      <x:c r="K326" s="166" t="str">
        <x:v>Lekka kolacja: ryż/ziemniaki + ryba/tofu/jaja + warzywa.</x:v>
      </x:c>
      <x:c r="L326" s="166"/>
      <x:c r="M326" s="166"/>
      <x:c r="N326" s="166"/>
      <x:c r="O326" s="166"/>
      <x:c r="P326" s="166"/>
      <x:c r="Q326" s="166" t="str">
        <x:v>Jeśli sobotni rower wszedł ciężko: skróć bieg o 30-50% albo zamień na 40 min easy/spacer.</x:v>
      </x:c>
      <x:c r="R326" s="136" t="str">
        <x:v>SIERPIEŃ 2027</x:v>
      </x:c>
      <x:c r="V326" s="227"/>
      <x:c r="W326" s="228"/>
      <x:c r="X326" s="226"/>
      <x:c r="Y326" s="229"/>
      <x:c r="Z326" s="227"/>
      <x:c r="AA326" s="226" t="str">
        <x:f>IF(AND(L326="",M326="",N326="",Z326=""),"",IF(OR(M326&gt;=5,N326&lt;6,L326&gt;=8),"CZERWONY",IF(OR(M326&gt;=3,N326&lt;6.5,L326&gt;=7,Z326&lt;=4),"ŻÓŁTY","OK")))</x:f>
      </x:c>
      <x:c r="AB326" s="226" t="str">
        <x:f>IF(AA326="","",IF(AA326="OK","Realizuj plan normalnie.",IF(AA326="ŻÓŁTY","Skróć 10-30% albo zamień akcent na easy.", "STOP mocne bodźce: wolne/basen/Tacx Z1 48-72 h.")))</x:f>
      </x:c>
    </x:row>
    <x:row r="327">
      <x:c r="A327" s="77" t="n">
        <x:v>46601</x:v>
      </x:c>
      <x:c r="B327" s="78" t="str">
        <x:v>Poniedziałek</x:v>
      </x:c>
      <x:c r="C327" s="78" t="str">
        <x:v>Tydzień 47 (Peak / szczyt formy)</x:v>
      </x:c>
      <x:c r="D327" s="78" t="str">
        <x:v>Najbardziej specyficzne jednostki bez przegrzania formy</x:v>
      </x:c>
      <x:c r="E327" s="78" t="str">
        <x:v>Pływanie technika</x:v>
      </x:c>
      <x:c r="F327" s="78" t="str">
        <x:v>Basen 1800-2400 m: technika chwytu + 8x100 m spokojnie. Open water zostaje na czwartek/weekend.</x:v>
      </x:c>
      <x:c r="G327" s="78" t="str">
        <x:v>ŁATWY</x:v>
      </x:c>
      <x:c r="H327" s="78" t="str">
        <x:v>Technika</x:v>
      </x:c>
      <x:c r="I327" s="78" t="str">
        <x:v>Jajka lub jogurt/skyr + owoce; kawa spokojnie.</x:v>
      </x:c>
      <x:c r="J327" s="78" t="str">
        <x:v>Zupa/kasza/ryż + warzywa + białko; nawodnienie.</x:v>
      </x:c>
      <x:c r="K327" s="78" t="str">
        <x:v>Lekka kolacja: ryż/ziemniaki + ryba/tofu/jaja + warzywa.</x:v>
      </x:c>
      <x:c r="L327" s="78"/>
      <x:c r="M327" s="78"/>
      <x:c r="N327" s="78"/>
      <x:c r="O327" s="78"/>
      <x:c r="P327" s="78"/>
      <x:c r="Q327" s="78" t="str">
        <x:v>Jeśli nogi ciężkie: skróć o 20-30% i trzymaj Z1/Z2.</x:v>
      </x:c>
      <x:c r="V327" s="227"/>
      <x:c r="W327" s="228"/>
      <x:c r="X327" s="226"/>
      <x:c r="Y327" s="229"/>
      <x:c r="Z327" s="227"/>
      <x:c r="AA327" s="226" t="str">
        <x:f>IF(AND(L327="",M327="",N327="",Z327=""),"",IF(OR(M327&gt;=5,N327&lt;6,L327&gt;=8),"CZERWONY",IF(OR(M327&gt;=3,N327&lt;6.5,L327&gt;=7,Z327&lt;=4),"ŻÓŁTY","OK")))</x:f>
      </x:c>
      <x:c r="AB327" s="226" t="str">
        <x:f>IF(AA327="","",IF(AA327="OK","Realizuj plan normalnie.",IF(AA327="ŻÓŁTY","Skróć 10-30% albo zamień akcent na easy.", "STOP mocne bodźce: wolne/basen/Tacx Z1 48-72 h.")))</x:f>
      </x:c>
    </x:row>
    <x:row r="328">
      <x:c r="A328" s="65" t="n">
        <x:v>46602</x:v>
      </x:c>
      <x:c r="B328" s="66" t="str">
        <x:v>Wtorek</x:v>
      </x:c>
      <x:c r="C328" s="66" t="str">
        <x:v>Tydzień 47 (Peak / szczyt formy)</x:v>
      </x:c>
      <x:c r="D328" s="66" t="str">
        <x:v>Najbardziej specyficzne jednostki bez przegrzania formy</x:v>
      </x:c>
      <x:c r="E328" s="66" t="str">
        <x:v>Bieg easy + rytmy</x:v>
      </x:c>
      <x:c r="F328" s="66" t="str">
        <x:v>6-8 km easy + 4x20 s rytmy tylko jeśli świeżo. Tydzień lżejszy.</x:v>
      </x:c>
      <x:c r="G328" s="66" t="str">
        <x:v>REGENERACJA</x:v>
      </x:c>
      <x:c r="H328" s="66" t="str">
        <x:v>Odświeżenie</x:v>
      </x:c>
      <x:c r="I328" s="66" t="str">
        <x:v>Normalne śniadanie, bez wymuszonego ładowania.</x:v>
      </x:c>
      <x:c r="J328" s="66" t="str">
        <x:v>Warzywa + białko + spokojna porcja węgli.</x:v>
      </x:c>
      <x:c r="K328" s="66" t="str">
        <x:v>Lekko, prosto, sen ważniejszy niż idealne makro.</x:v>
      </x:c>
      <x:c r="L328" s="66"/>
      <x:c r="M328" s="66"/>
      <x:c r="N328" s="66"/>
      <x:c r="O328" s="66"/>
      <x:c r="P328" s="66"/>
      <x:c r="Q328" s="66" t="str">
        <x:v>Nie nadrabiaj zaległości. Regeneracja jest częścią planu.</x:v>
      </x:c>
      <x:c r="V328" s="227"/>
      <x:c r="W328" s="228"/>
      <x:c r="X328" s="226"/>
      <x:c r="Y328" s="229"/>
      <x:c r="Z328" s="227"/>
      <x:c r="AA328" s="226" t="str">
        <x:f>IF(AND(L328="",M328="",N328="",Z328=""),"",IF(OR(M328&gt;=5,N328&lt;6,L328&gt;=8),"CZERWONY",IF(OR(M328&gt;=3,N328&lt;6.5,L328&gt;=7,Z328&lt;=4),"ŻÓŁTY","OK")))</x:f>
      </x:c>
      <x:c r="AB328" s="226" t="str">
        <x:f>IF(AA328="","",IF(AA328="OK","Realizuj plan normalnie.",IF(AA328="ŻÓŁTY","Skróć 10-30% albo zamień akcent na easy.", "STOP mocne bodźce: wolne/basen/Tacx Z1 48-72 h.")))</x:f>
      </x:c>
    </x:row>
    <x:row r="329">
      <x:c r="A329" s="113" t="n">
        <x:v>46603</x:v>
      </x:c>
      <x:c r="B329" s="107" t="str">
        <x:v>Środa</x:v>
      </x:c>
      <x:c r="C329" s="107" t="str">
        <x:v>Tydzień 47 (Peak / szczyt formy)</x:v>
      </x:c>
      <x:c r="D329" s="107" t="str">
        <x:v>Najbardziej specyficzne jednostki bez przegrzania formy</x:v>
      </x:c>
      <x:c r="E329" s="107" t="str">
        <x:v>Tacx regeneracyjny</x:v>
      </x:c>
      <x:c r="F329" s="107" t="str">
        <x:v>45-60 min Z1/Z2 135-165 W. STAŁY limit regeneracji: bez skalowania minut, bez sweet spot.</x:v>
      </x:c>
      <x:c r="G329" s="107" t="str">
        <x:v>REGENERACJA</x:v>
      </x:c>
      <x:c r="H329" s="107" t="str">
        <x:v>Odświeżenie</x:v>
      </x:c>
      <x:c r="I329" s="107" t="str">
        <x:v>Normalne śniadanie, bez wymuszonego ładowania.</x:v>
      </x:c>
      <x:c r="J329" s="107" t="str">
        <x:v>Warzywa + białko + spokojna porcja węgli.</x:v>
      </x:c>
      <x:c r="K329" s="107" t="str">
        <x:v>Lekko, prosto, sen ważniejszy niż idealne makro.</x:v>
      </x:c>
      <x:c r="L329" s="107"/>
      <x:c r="M329" s="107"/>
      <x:c r="N329" s="107"/>
      <x:c r="O329" s="107"/>
      <x:c r="P329" s="107"/>
      <x:c r="Q329" s="107" t="str">
        <x:v>Nie nadrabiaj zaległości. Regeneracja jest częścią planu.</x:v>
      </x:c>
      <x:c r="V329" s="227"/>
      <x:c r="W329" s="228"/>
      <x:c r="X329" s="226"/>
      <x:c r="Y329" s="229"/>
      <x:c r="Z329" s="227"/>
      <x:c r="AA329" s="226" t="str">
        <x:f>IF(AND(L329="",M329="",N329="",Z329=""),"",IF(OR(M329&gt;=5,N329&lt;6,L329&gt;=8),"CZERWONY",IF(OR(M329&gt;=3,N329&lt;6.5,L329&gt;=7,Z329&lt;=4),"ŻÓŁTY","OK")))</x:f>
      </x:c>
      <x:c r="AB329" s="226" t="str">
        <x:f>IF(AA329="","",IF(AA329="OK","Realizuj plan normalnie.",IF(AA329="ŻÓŁTY","Skróć 10-30% albo zamień akcent na easy.", "STOP mocne bodźce: wolne/basen/Tacx Z1 48-72 h.")))</x:f>
      </x:c>
    </x:row>
    <x:row r="330">
      <x:c r="A330" s="77" t="n">
        <x:v>46604</x:v>
      </x:c>
      <x:c r="B330" s="78" t="str">
        <x:v>Czwartek</x:v>
      </x:c>
      <x:c r="C330" s="78" t="str">
        <x:v>Tydzień 47 (Peak / szczyt formy)</x:v>
      </x:c>
      <x:c r="D330" s="78" t="str">
        <x:v>Najbardziej specyficzne jednostki bez przegrzania formy</x:v>
      </x:c>
      <x:c r="E330" s="78" t="str">
        <x:v>Bieg easy + OPEN WATER</x:v>
      </x:c>
      <x:c r="F330" s="78" t="str">
        <x:v>RANO: 6-10 km easy. WIECZÓR: OPEN WATER 35-55 min: pełna próba startowa, nawigacja, wyjście z wody. Jedna próba 1900 m non-stop.</x:v>
      </x:c>
      <x:c r="G330" s="78" t="str">
        <x:v>ŁATWY</x:v>
      </x:c>
      <x:c r="H330" s="78" t="str">
        <x:v>Adaptacja open water</x:v>
      </x:c>
      <x:c r="I330" s="78" t="str">
        <x:v>Jajka lub jogurt/skyr + owoce; kawa spokojnie.</x:v>
      </x:c>
      <x:c r="J330" s="78" t="str">
        <x:v>Zupa/kasza/ryż + warzywa + białko; nawodnienie.</x:v>
      </x:c>
      <x:c r="K330" s="78" t="str">
        <x:v>Lekka kolacja: ryż/ziemniaki + ryba/tofu/jaja + warzywa.</x:v>
      </x:c>
      <x:c r="L330" s="78"/>
      <x:c r="M330" s="78"/>
      <x:c r="N330" s="78"/>
      <x:c r="O330" s="78"/>
      <x:c r="P330" s="78"/>
      <x:c r="Q330" s="78" t="str">
        <x:v>Jeśli technika się sypie: skróć odcinki, wydłuż przerwy, nie dokładaj metrów.</x:v>
      </x:c>
      <x:c r="V330" s="227"/>
      <x:c r="W330" s="228"/>
      <x:c r="X330" s="226"/>
      <x:c r="Y330" s="229"/>
      <x:c r="Z330" s="227"/>
      <x:c r="AA330" s="226" t="str">
        <x:f>IF(AND(L330="",M330="",N330="",Z330=""),"",IF(OR(M330&gt;=5,N330&lt;6,L330&gt;=8),"CZERWONY",IF(OR(M330&gt;=3,N330&lt;6.5,L330&gt;=7,Z330&lt;=4),"ŻÓŁTY","OK")))</x:f>
      </x:c>
      <x:c r="AB330" s="226" t="str">
        <x:f>IF(AA330="","",IF(AA330="OK","Realizuj plan normalnie.",IF(AA330="ŻÓŁTY","Skróć 10-30% albo zamień akcent na easy.", "STOP mocne bodźce: wolne/basen/Tacx Z1 48-72 h.")))</x:f>
      </x:c>
    </x:row>
    <x:row r="331">
      <x:c r="A331" s="71" t="n">
        <x:v>46605</x:v>
      </x:c>
      <x:c r="B331" s="72" t="str">
        <x:v>Piątek</x:v>
      </x:c>
      <x:c r="C331" s="72" t="str">
        <x:v>Tydzień 47 (Peak / szczyt formy)</x:v>
      </x:c>
      <x:c r="D331" s="72" t="str">
        <x:v>Najbardziej specyficzne jednostki bez przegrzania formy</x:v>
      </x:c>
      <x:c r="E331" s="72" t="str">
        <x:v>WOLNE</x:v>
      </x:c>
      <x:c r="F331" s="72" t="str">
        <x:v>Pełna regeneracja. Zero nadrabiania. Sprawdź sen, RPE i ból.</x:v>
      </x:c>
      <x:c r="G331" s="72" t="str">
        <x:v>WOLNE</x:v>
      </x:c>
      <x:c r="H331" s="72" t="str">
        <x:v>Adaptacja</x:v>
      </x:c>
      <x:c r="I331" s="72" t="str">
        <x:v>Normalne śniadanie, bez wymuszonego ładowania.</x:v>
      </x:c>
      <x:c r="J331" s="72" t="str">
        <x:v>Warzywa + białko + spokojna porcja węgli.</x:v>
      </x:c>
      <x:c r="K331" s="72" t="str">
        <x:v>Lekko, prosto, sen ważniejszy niż idealne makro.</x:v>
      </x:c>
      <x:c r="L331" s="72"/>
      <x:c r="M331" s="72"/>
      <x:c r="N331" s="72"/>
      <x:c r="O331" s="72"/>
      <x:c r="P331" s="72"/>
      <x:c r="Q331" s="72" t="str">
        <x:v>Nie nadrabiaj zaległości. Regeneracja jest częścią planu.</x:v>
      </x:c>
      <x:c r="V331" s="227"/>
      <x:c r="W331" s="228"/>
      <x:c r="X331" s="226"/>
      <x:c r="Y331" s="229"/>
      <x:c r="Z331" s="227"/>
      <x:c r="AA331" s="226" t="str">
        <x:f>IF(AND(L331="",M331="",N331="",Z331=""),"",IF(OR(M331&gt;=5,N331&lt;6,L331&gt;=8),"CZERWONY",IF(OR(M331&gt;=3,N331&lt;6.5,L331&gt;=7,Z331&lt;=4),"ŻÓŁTY","OK")))</x:f>
      </x:c>
      <x:c r="AB331" s="226" t="str">
        <x:f>IF(AA331="","",IF(AA331="OK","Realizuj plan normalnie.",IF(AA331="ŻÓŁTY","Skróć 10-30% albo zamień akcent na easy.", "STOP mocne bodźce: wolne/basen/Tacx Z1 48-72 h.")))</x:f>
      </x:c>
    </x:row>
    <x:row r="332">
      <x:c r="A332" s="113" t="n">
        <x:v>46606</x:v>
      </x:c>
      <x:c r="B332" s="107" t="str">
        <x:v>Sobota</x:v>
      </x:c>
      <x:c r="C332" s="107" t="str">
        <x:v>Tydzień 47 (Peak / szczyt formy)</x:v>
      </x:c>
      <x:c r="D332" s="107" t="str">
        <x:v>Najbardziej specyficzne jednostki bez przegrzania formy</x:v>
      </x:c>
      <x:c r="E332" s="107" t="str">
        <x:v>Rower regeneracyjny</x:v>
      </x:c>
      <x:c r="F332" s="107" t="str">
        <x:v>45-60 min Z1/Z2. Bez T2. To jest prawdziwy tydzień regeneracyjny.</x:v>
      </x:c>
      <x:c r="G332" s="107" t="str">
        <x:v>REGENERACJA</x:v>
      </x:c>
      <x:c r="H332" s="107" t="str">
        <x:v>Zrzut zmęczenia</x:v>
      </x:c>
      <x:c r="I332" s="107" t="str">
        <x:v>Normalne śniadanie, bez wymuszonego ładowania.</x:v>
      </x:c>
      <x:c r="J332" s="107" t="str">
        <x:v>Warzywa + białko + spokojna porcja węgli.</x:v>
      </x:c>
      <x:c r="K332" s="107" t="str">
        <x:v>Lekko, prosto, sen ważniejszy niż idealne makro.</x:v>
      </x:c>
      <x:c r="L332" s="107"/>
      <x:c r="M332" s="107"/>
      <x:c r="N332" s="107"/>
      <x:c r="O332" s="107"/>
      <x:c r="P332" s="107"/>
      <x:c r="Q332" s="107" t="str">
        <x:v>Nie nadrabiaj zaległości. Regeneracja jest częścią planu.</x:v>
      </x:c>
      <x:c r="V332" s="227"/>
      <x:c r="W332" s="228"/>
      <x:c r="X332" s="226"/>
      <x:c r="Y332" s="229"/>
      <x:c r="Z332" s="227"/>
      <x:c r="AA332" s="226" t="str">
        <x:f>IF(AND(L332="",M332="",N332="",Z332=""),"",IF(OR(M332&gt;=5,N332&lt;6,L332&gt;=8),"CZERWONY",IF(OR(M332&gt;=3,N332&lt;6.5,L332&gt;=7,Z332&lt;=4),"ŻÓŁTY","OK")))</x:f>
      </x:c>
      <x:c r="AB332" s="226" t="str">
        <x:f>IF(AA332="","",IF(AA332="OK","Realizuj plan normalnie.",IF(AA332="ŻÓŁTY","Skróć 10-30% albo zamień akcent na easy.", "STOP mocne bodźce: wolne/basen/Tacx Z1 48-72 h.")))</x:f>
      </x:c>
    </x:row>
    <x:row r="333">
      <x:c r="A333" s="65" t="n">
        <x:v>46607</x:v>
      </x:c>
      <x:c r="B333" s="66" t="str">
        <x:v>Niedziela</x:v>
      </x:c>
      <x:c r="C333" s="66" t="str">
        <x:v>Tydzień 47 (Peak / szczyt formy)</x:v>
      </x:c>
      <x:c r="D333" s="66" t="str">
        <x:v>Najbardziej specyficzne jednostki bez przegrzania formy</x:v>
      </x:c>
      <x:c r="E333" s="66" t="str">
        <x:v>Bieg easy krótki</x:v>
      </x:c>
      <x:c r="F333" s="66" t="str">
        <x:v>6-10 km easy 5:45-6:15/km. Tydzień lżejszy, bez ambicji.</x:v>
      </x:c>
      <x:c r="G333" s="66" t="str">
        <x:v>REGENERACJA</x:v>
      </x:c>
      <x:c r="H333" s="66" t="str">
        <x:v>Odświeżenie</x:v>
      </x:c>
      <x:c r="I333" s="66" t="str">
        <x:v>Normalne śniadanie, bez wymuszonego ładowania.</x:v>
      </x:c>
      <x:c r="J333" s="66" t="str">
        <x:v>Warzywa + białko + spokojna porcja węgli.</x:v>
      </x:c>
      <x:c r="K333" s="66" t="str">
        <x:v>Lekko, prosto, sen ważniejszy niż idealne makro.</x:v>
      </x:c>
      <x:c r="L333" s="66"/>
      <x:c r="M333" s="66"/>
      <x:c r="N333" s="66"/>
      <x:c r="O333" s="66"/>
      <x:c r="P333" s="66"/>
      <x:c r="Q333" s="66" t="str">
        <x:v>Nie nadrabiaj zaległości. Regeneracja jest częścią planu.</x:v>
      </x:c>
      <x:c r="V333" s="227"/>
      <x:c r="W333" s="228"/>
      <x:c r="X333" s="226"/>
      <x:c r="Y333" s="229"/>
      <x:c r="Z333" s="227"/>
      <x:c r="AA333" s="226" t="str">
        <x:f>IF(AND(L333="",M333="",N333="",Z333=""),"",IF(OR(M333&gt;=5,N333&lt;6,L333&gt;=8),"CZERWONY",IF(OR(M333&gt;=3,N333&lt;6.5,L333&gt;=7,Z333&lt;=4),"ŻÓŁTY","OK")))</x:f>
      </x:c>
      <x:c r="AB333" s="226" t="str">
        <x:f>IF(AA333="","",IF(AA333="OK","Realizuj plan normalnie.",IF(AA333="ŻÓŁTY","Skróć 10-30% albo zamień akcent na easy.", "STOP mocne bodźce: wolne/basen/Tacx Z1 48-72 h.")))</x:f>
      </x:c>
    </x:row>
    <x:row r="334">
      <x:c r="A334" s="77" t="n">
        <x:v>46608</x:v>
      </x:c>
      <x:c r="B334" s="78" t="str">
        <x:v>Poniedziałek</x:v>
      </x:c>
      <x:c r="C334" s="78" t="str">
        <x:v>Tydzień 48 (Taper / start)</x:v>
      </x:c>
      <x:c r="D334" s="78" t="str">
        <x:v>Taper 70.3: redukcja objętości, podtrzymanie czucia tempa, świeżość</x:v>
      </x:c>
      <x:c r="E334" s="78" t="str">
        <x:v>Pływanie technika</x:v>
      </x:c>
      <x:c r="F334" s="78" t="str">
        <x:v>Basen 1800-2400 m: technika chwytu + 8x100 m spokojnie. Open water zostaje na czwartek/weekend.</x:v>
      </x:c>
      <x:c r="G334" s="78" t="str">
        <x:v>ŁATWY</x:v>
      </x:c>
      <x:c r="H334" s="78" t="str">
        <x:v>Technika</x:v>
      </x:c>
      <x:c r="I334" s="78" t="str">
        <x:v>Jajka lub jogurt/skyr + owoce; kawa spokojnie.</x:v>
      </x:c>
      <x:c r="J334" s="78" t="str">
        <x:v>Zupa/kasza/ryż + warzywa + białko; nawodnienie.</x:v>
      </x:c>
      <x:c r="K334" s="78" t="str">
        <x:v>Lekka kolacja: ryż/ziemniaki + ryba/tofu/jaja + warzywa.</x:v>
      </x:c>
      <x:c r="L334" s="78"/>
      <x:c r="M334" s="78"/>
      <x:c r="N334" s="78"/>
      <x:c r="O334" s="78"/>
      <x:c r="P334" s="78"/>
      <x:c r="Q334" s="78" t="str">
        <x:v>Jeśli nogi ciężkie: skróć o 20-30% i trzymaj Z1/Z2.</x:v>
      </x:c>
      <x:c r="V334" s="227"/>
      <x:c r="W334" s="228"/>
      <x:c r="X334" s="226"/>
      <x:c r="Y334" s="229"/>
      <x:c r="Z334" s="227"/>
      <x:c r="AA334" s="226" t="str">
        <x:f>IF(AND(L334="",M334="",N334="",Z334=""),"",IF(OR(M334&gt;=5,N334&lt;6,L334&gt;=8),"CZERWONY",IF(OR(M334&gt;=3,N334&lt;6.5,L334&gt;=7,Z334&lt;=4),"ŻÓŁTY","OK")))</x:f>
      </x:c>
      <x:c r="AB334" s="226" t="str">
        <x:f>IF(AA334="","",IF(AA334="OK","Realizuj plan normalnie.",IF(AA334="ŻÓŁTY","Skróć 10-30% albo zamień akcent na easy.", "STOP mocne bodźce: wolne/basen/Tacx Z1 48-72 h.")))</x:f>
      </x:c>
    </x:row>
    <x:row r="335">
      <x:c r="A335" s="65" t="n">
        <x:v>46609</x:v>
      </x:c>
      <x:c r="B335" s="66" t="str">
        <x:v>Wtorek</x:v>
      </x:c>
      <x:c r="C335" s="66" t="str">
        <x:v>Tydzień 48 (Taper / start)</x:v>
      </x:c>
      <x:c r="D335" s="66" t="str">
        <x:v>Taper 70.3: redukcja objętości, podtrzymanie czucia tempa, świeżość</x:v>
      </x:c>
      <x:c r="E335" s="66" t="str">
        <x:v>Bieg easy</x:v>
      </x:c>
      <x:c r="F335" s="66" t="str">
        <x:v>6-10 km easy + 4x20 s rytmy. Taper: świeżość ponad objętość.</x:v>
      </x:c>
      <x:c r="G335" s="66" t="str">
        <x:v>REGENERACJA</x:v>
      </x:c>
      <x:c r="H335" s="66" t="str">
        <x:v>Świeżość</x:v>
      </x:c>
      <x:c r="I335" s="66" t="str">
        <x:v>Normalne śniadanie, bez wymuszonego ładowania.</x:v>
      </x:c>
      <x:c r="J335" s="66" t="str">
        <x:v>Warzywa + białko + spokojna porcja węgli.</x:v>
      </x:c>
      <x:c r="K335" s="66" t="str">
        <x:v>Lekko, prosto, sen ważniejszy niż idealne makro.</x:v>
      </x:c>
      <x:c r="L335" s="66"/>
      <x:c r="M335" s="66"/>
      <x:c r="N335" s="66"/>
      <x:c r="O335" s="66"/>
      <x:c r="P335" s="66"/>
      <x:c r="Q335" s="66" t="str">
        <x:v>Nie nadrabiaj zaległości. Regeneracja jest częścią planu.</x:v>
      </x:c>
      <x:c r="V335" s="227"/>
      <x:c r="W335" s="228"/>
      <x:c r="X335" s="226"/>
      <x:c r="Y335" s="229"/>
      <x:c r="Z335" s="227"/>
      <x:c r="AA335" s="226" t="str">
        <x:f>IF(AND(L335="",M335="",N335="",Z335=""),"",IF(OR(M335&gt;=5,N335&lt;6,L335&gt;=8),"CZERWONY",IF(OR(M335&gt;=3,N335&lt;6.5,L335&gt;=7,Z335&lt;=4),"ŻÓŁTY","OK")))</x:f>
      </x:c>
      <x:c r="AB335" s="226" t="str">
        <x:f>IF(AA335="","",IF(AA335="OK","Realizuj plan normalnie.",IF(AA335="ŻÓŁTY","Skróć 10-30% albo zamień akcent na easy.", "STOP mocne bodźce: wolne/basen/Tacx Z1 48-72 h.")))</x:f>
      </x:c>
    </x:row>
    <x:row r="336">
      <x:c r="A336" s="113" t="n">
        <x:v>46610</x:v>
      </x:c>
      <x:c r="B336" s="107" t="str">
        <x:v>Środa</x:v>
      </x:c>
      <x:c r="C336" s="107" t="str">
        <x:v>Tydzień 48 (Taper / start)</x:v>
      </x:c>
      <x:c r="D336" s="107" t="str">
        <x:v>Taper 70.3: redukcja objętości, podtrzymanie czucia tempa, świeżość</x:v>
      </x:c>
      <x:c r="E336" s="107" t="str">
        <x:v>Tacx taper</x:v>
      </x:c>
      <x:c r="F336" s="107" t="str">
        <x:v>45-60 min lekko + 3x2 min race pace. Krótko, świeżo.</x:v>
      </x:c>
      <x:c r="G336" s="107" t="str">
        <x:v>REGENERACJA</x:v>
      </x:c>
      <x:c r="H336" s="107" t="str">
        <x:v>Podtrzymanie</x:v>
      </x:c>
      <x:c r="I336" s="107" t="str">
        <x:v>Normalne śniadanie, bez wymuszonego ładowania.</x:v>
      </x:c>
      <x:c r="J336" s="107" t="str">
        <x:v>Warzywa + białko + spokojna porcja węgli.</x:v>
      </x:c>
      <x:c r="K336" s="107" t="str">
        <x:v>Lekko, prosto, sen ważniejszy niż idealne makro.</x:v>
      </x:c>
      <x:c r="L336" s="107"/>
      <x:c r="M336" s="107"/>
      <x:c r="N336" s="107"/>
      <x:c r="O336" s="107"/>
      <x:c r="P336" s="107"/>
      <x:c r="Q336" s="107" t="str">
        <x:v>Nie nadrabiaj zaległości. Regeneracja jest częścią planu.</x:v>
      </x:c>
      <x:c r="V336" s="227"/>
      <x:c r="W336" s="228"/>
      <x:c r="X336" s="226"/>
      <x:c r="Y336" s="229"/>
      <x:c r="Z336" s="227"/>
      <x:c r="AA336" s="226" t="str">
        <x:f>IF(AND(L336="",M336="",N336="",Z336=""),"",IF(OR(M336&gt;=5,N336&lt;6,L336&gt;=8),"CZERWONY",IF(OR(M336&gt;=3,N336&lt;6.5,L336&gt;=7,Z336&lt;=4),"ŻÓŁTY","OK")))</x:f>
      </x:c>
      <x:c r="AB336" s="226" t="str">
        <x:f>IF(AA336="","",IF(AA336="OK","Realizuj plan normalnie.",IF(AA336="ŻÓŁTY","Skróć 10-30% albo zamień akcent na easy.", "STOP mocne bodźce: wolne/basen/Tacx Z1 48-72 h.")))</x:f>
      </x:c>
    </x:row>
    <x:row r="337">
      <x:c r="A337" s="77" t="n">
        <x:v>46611</x:v>
      </x:c>
      <x:c r="B337" s="78" t="str">
        <x:v>Czwartek</x:v>
      </x:c>
      <x:c r="C337" s="78" t="str">
        <x:v>Tydzień 48 (Taper / start)</x:v>
      </x:c>
      <x:c r="D337" s="78" t="str">
        <x:v>Taper 70.3: redukcja objętości, podtrzymanie czucia tempa, świeżość</x:v>
      </x:c>
      <x:c r="E337" s="78" t="str">
        <x:v>Bieg easy + OPEN WATER</x:v>
      </x:c>
      <x:c r="F337" s="78" t="str">
        <x:v>RANO: 6-10 km easy. WIECZÓR: OPEN WATER 20-35 min luźno + kilka krótkich wejść w tempo startowe. Zero zmęczenia.</x:v>
      </x:c>
      <x:c r="G337" s="78" t="str">
        <x:v>ŁATWY</x:v>
      </x:c>
      <x:c r="H337" s="78" t="str">
        <x:v>Adaptacja open water</x:v>
      </x:c>
      <x:c r="I337" s="78" t="str">
        <x:v>Jajka lub jogurt/skyr + owoce; kawa spokojnie.</x:v>
      </x:c>
      <x:c r="J337" s="78" t="str">
        <x:v>Zupa/kasza/ryż + warzywa + białko; nawodnienie.</x:v>
      </x:c>
      <x:c r="K337" s="78" t="str">
        <x:v>Lekka kolacja: ryż/ziemniaki + ryba/tofu/jaja + warzywa.</x:v>
      </x:c>
      <x:c r="L337" s="78"/>
      <x:c r="M337" s="78"/>
      <x:c r="N337" s="78"/>
      <x:c r="O337" s="78"/>
      <x:c r="P337" s="78"/>
      <x:c r="Q337" s="78" t="str">
        <x:v>Jeśli technika się sypie: skróć odcinki, wydłuż przerwy, nie dokładaj metrów.</x:v>
      </x:c>
      <x:c r="V337" s="227"/>
      <x:c r="W337" s="228"/>
      <x:c r="X337" s="226"/>
      <x:c r="Y337" s="229"/>
      <x:c r="Z337" s="227"/>
      <x:c r="AA337" s="226" t="str">
        <x:f>IF(AND(L337="",M337="",N337="",Z337=""),"",IF(OR(M337&gt;=5,N337&lt;6,L337&gt;=8),"CZERWONY",IF(OR(M337&gt;=3,N337&lt;6.5,L337&gt;=7,Z337&lt;=4),"ŻÓŁTY","OK")))</x:f>
      </x:c>
      <x:c r="AB337" s="226" t="str">
        <x:f>IF(AA337="","",IF(AA337="OK","Realizuj plan normalnie.",IF(AA337="ŻÓŁTY","Skróć 10-30% albo zamień akcent na easy.", "STOP mocne bodźce: wolne/basen/Tacx Z1 48-72 h.")))</x:f>
      </x:c>
    </x:row>
    <x:row r="338">
      <x:c r="A338" s="71" t="n">
        <x:v>46612</x:v>
      </x:c>
      <x:c r="B338" s="72" t="str">
        <x:v>Piątek</x:v>
      </x:c>
      <x:c r="C338" s="72" t="str">
        <x:v>Tydzień 48 (Taper / start)</x:v>
      </x:c>
      <x:c r="D338" s="72" t="str">
        <x:v>Taper 70.3: redukcja objętości, podtrzymanie czucia tempa, świeżość</x:v>
      </x:c>
      <x:c r="E338" s="72" t="str">
        <x:v>WOLNE</x:v>
      </x:c>
      <x:c r="F338" s="72" t="str">
        <x:v>Pełna regeneracja. Zero nadrabiania. Sprawdź sen, RPE i ból.</x:v>
      </x:c>
      <x:c r="G338" s="72" t="str">
        <x:v>WOLNE</x:v>
      </x:c>
      <x:c r="H338" s="72" t="str">
        <x:v>Adaptacja</x:v>
      </x:c>
      <x:c r="I338" s="72" t="str">
        <x:v>Normalne śniadanie, bez wymuszonego ładowania.</x:v>
      </x:c>
      <x:c r="J338" s="72" t="str">
        <x:v>Warzywa + białko + spokojna porcja węgli.</x:v>
      </x:c>
      <x:c r="K338" s="72" t="str">
        <x:v>Lekko, prosto, sen ważniejszy niż idealne makro.</x:v>
      </x:c>
      <x:c r="L338" s="72"/>
      <x:c r="M338" s="72"/>
      <x:c r="N338" s="72"/>
      <x:c r="O338" s="72"/>
      <x:c r="P338" s="72"/>
      <x:c r="Q338" s="72" t="str">
        <x:v>Nie nadrabiaj zaległości. Regeneracja jest częścią planu.</x:v>
      </x:c>
      <x:c r="V338" s="227"/>
      <x:c r="W338" s="228"/>
      <x:c r="X338" s="226"/>
      <x:c r="Y338" s="229"/>
      <x:c r="Z338" s="227"/>
      <x:c r="AA338" s="226" t="str">
        <x:f>IF(AND(L338="",M338="",N338="",Z338=""),"",IF(OR(M338&gt;=5,N338&lt;6,L338&gt;=8),"CZERWONY",IF(OR(M338&gt;=3,N338&lt;6.5,L338&gt;=7,Z338&lt;=4),"ŻÓŁTY","OK")))</x:f>
      </x:c>
      <x:c r="AB338" s="226" t="str">
        <x:f>IF(AA338="","",IF(AA338="OK","Realizuj plan normalnie.",IF(AA338="ŻÓŁTY","Skróć 10-30% albo zamień akcent na easy.", "STOP mocne bodźce: wolne/basen/Tacx Z1 48-72 h.")))</x:f>
      </x:c>
    </x:row>
    <x:row r="339">
      <x:c r="A339" s="113" t="n">
        <x:v>46613</x:v>
      </x:c>
      <x:c r="B339" s="107" t="str">
        <x:v>Sobota</x:v>
      </x:c>
      <x:c r="C339" s="107" t="str">
        <x:v>Tydzień 48 (Taper / start)</x:v>
      </x:c>
      <x:c r="D339" s="107" t="str">
        <x:v>Taper 70.3: redukcja objętości, podtrzymanie czucia tempa, świeżość</x:v>
      </x:c>
      <x:c r="E339" s="107" t="str">
        <x:v>Rower + T2 taper</x:v>
      </x:c>
      <x:c r="F339" s="107" t="str">
        <x:v>150 min Z2 z 2x10 min race pace + 6 km T2 easy.</x:v>
      </x:c>
      <x:c r="G339" s="107" t="str">
        <x:v>LONG</x:v>
      </x:c>
      <x:c r="H339" s="107" t="str">
        <x:v>Ostatni średni bodziec</x:v>
      </x:c>
      <x:c r="I339" s="107" t="str">
        <x:v>3 h przed: sprawdzony posiłek węglowodanowy; bez nowych produktów.</x:v>
      </x:c>
      <x:c r="J339" s="107" t="str">
        <x:v>Po treningu: ryż/ziemniaki + białko + sól/elektrolity.</x:v>
      </x:c>
      <x:c r="K339" s="107" t="str">
        <x:v>Kolacja regeneracyjna: węgle + białko + warzywa; uzupełnij płyny.</x:v>
      </x:c>
      <x:c r="L339" s="107"/>
      <x:c r="M339" s="107"/>
      <x:c r="N339" s="107"/>
      <x:c r="O339" s="107"/>
      <x:c r="P339" s="107"/>
      <x:c r="Q339" s="107" t="str">
        <x:v>Jeśli ból narasta lub RPE &gt;7 przed połową: skróć, nie nadrabiaj kilometrów.</x:v>
      </x:c>
      <x:c r="V339" s="227"/>
      <x:c r="W339" s="228"/>
      <x:c r="X339" s="226"/>
      <x:c r="Y339" s="229"/>
      <x:c r="Z339" s="227"/>
      <x:c r="AA339" s="226" t="str">
        <x:f>IF(AND(L339="",M339="",N339="",Z339=""),"",IF(OR(M339&gt;=5,N339&lt;6,L339&gt;=8),"CZERWONY",IF(OR(M339&gt;=3,N339&lt;6.5,L339&gt;=7,Z339&lt;=4),"ŻÓŁTY","OK")))</x:f>
      </x:c>
      <x:c r="AB339" s="226" t="str">
        <x:f>IF(AA339="","",IF(AA339="OK","Realizuj plan normalnie.",IF(AA339="ŻÓŁTY","Skróć 10-30% albo zamień akcent na easy.", "STOP mocne bodźce: wolne/basen/Tacx Z1 48-72 h.")))</x:f>
      </x:c>
    </x:row>
    <x:row r="340">
      <x:c r="A340" s="65" t="n">
        <x:v>46614</x:v>
      </x:c>
      <x:c r="B340" s="66" t="str">
        <x:v>Niedziela</x:v>
      </x:c>
      <x:c r="C340" s="66" t="str">
        <x:v>Tydzień 48 (Taper / start)</x:v>
      </x:c>
      <x:c r="D340" s="66" t="str">
        <x:v>Taper 70.3: redukcja objętości, podtrzymanie czucia tempa, świeżość</x:v>
      </x:c>
      <x:c r="E340" s="66" t="str">
        <x:v>Bieg taper 70.3</x:v>
      </x:c>
      <x:c r="F340" s="66" t="str">
        <x:v>10-12 km easy + 3 km w tempie 70.3. Objętość spada, czucie tempa zostaje.</x:v>
      </x:c>
      <x:c r="G340" s="66" t="str">
        <x:v>ŁATWY</x:v>
      </x:c>
      <x:c r="H340" s="66" t="str">
        <x:v>Taper</x:v>
      </x:c>
      <x:c r="I340" s="66" t="str">
        <x:v>Normalne śniadanie, bez wymuszonego ładowania.</x:v>
      </x:c>
      <x:c r="J340" s="66" t="str">
        <x:v>Warzywa + białko + spokojna porcja węgli.</x:v>
      </x:c>
      <x:c r="K340" s="66" t="str">
        <x:v>Lekko, prosto, sen ważniejszy niż idealne makro.</x:v>
      </x:c>
      <x:c r="L340" s="66"/>
      <x:c r="M340" s="66"/>
      <x:c r="N340" s="66"/>
      <x:c r="O340" s="66"/>
      <x:c r="P340" s="66"/>
      <x:c r="Q340" s="66" t="str">
        <x:v>Jeśli sobotni rower wszedł ciężko: skróć bieg o 30-50% albo zamień na 40 min easy/spacer.</x:v>
      </x:c>
      <x:c r="V340" s="227"/>
      <x:c r="W340" s="228"/>
      <x:c r="X340" s="226"/>
      <x:c r="Y340" s="229"/>
      <x:c r="Z340" s="227"/>
      <x:c r="AA340" s="226" t="str">
        <x:f>IF(AND(L340="",M340="",N340="",Z340=""),"",IF(OR(M340&gt;=5,N340&lt;6,L340&gt;=8),"CZERWONY",IF(OR(M340&gt;=3,N340&lt;6.5,L340&gt;=7,Z340&lt;=4),"ŻÓŁTY","OK")))</x:f>
      </x:c>
      <x:c r="AB340" s="226" t="str">
        <x:f>IF(AA340="","",IF(AA340="OK","Realizuj plan normalnie.",IF(AA340="ŻÓŁTY","Skróć 10-30% albo zamień akcent na easy.", "STOP mocne bodźce: wolne/basen/Tacx Z1 48-72 h.")))</x:f>
      </x:c>
    </x:row>
    <x:row r="341">
      <x:c r="A341" s="77" t="n">
        <x:v>46615</x:v>
      </x:c>
      <x:c r="B341" s="78" t="str">
        <x:v>Poniedziałek</x:v>
      </x:c>
      <x:c r="C341" s="78" t="str">
        <x:v>Tydzień 49 (Taper / start)</x:v>
      </x:c>
      <x:c r="D341" s="78" t="str">
        <x:v>Taper 70.3: redukcja objętości, podtrzymanie czucia tempa, świeżość</x:v>
      </x:c>
      <x:c r="E341" s="78" t="str">
        <x:v>BASEN technika</x:v>
      </x:c>
      <x:c r="F341" s="78" t="str">
        <x:v>1200-1800 m lekko: technika + 6x50 m w tempie startowym, pełny luz.</x:v>
      </x:c>
      <x:c r="G341" s="78" t="str">
        <x:v>ŁATWY</x:v>
      </x:c>
      <x:c r="H341" s="78" t="str">
        <x:v>Progresja pływania/CSS</x:v>
      </x:c>
      <x:c r="I341" s="78" t="str">
        <x:v>Jajka lub jogurt/skyr + owoce; kawa spokojnie.</x:v>
      </x:c>
      <x:c r="J341" s="78" t="str">
        <x:v>Zupa/kasza/ryż + warzywa + białko; nawodnienie.</x:v>
      </x:c>
      <x:c r="K341" s="78" t="str">
        <x:v>Lekka kolacja: ryż/ziemniaki + ryba/tofu/jaja + warzywa.</x:v>
      </x:c>
      <x:c r="L341" s="78"/>
      <x:c r="M341" s="78"/>
      <x:c r="N341" s="78"/>
      <x:c r="O341" s="78"/>
      <x:c r="P341" s="78"/>
      <x:c r="Q341" s="78" t="str">
        <x:v>Jeśli technika się sypie: skróć odcinki, wydłuż przerwy, nie dokładaj metrów.</x:v>
      </x:c>
      <x:c r="V341" s="227"/>
      <x:c r="W341" s="228"/>
      <x:c r="X341" s="226"/>
      <x:c r="Y341" s="229"/>
      <x:c r="Z341" s="227"/>
      <x:c r="AA341" s="226" t="str">
        <x:f>IF(AND(L341="",M341="",N341="",Z341=""),"",IF(OR(M341&gt;=5,N341&lt;6,L341&gt;=8),"CZERWONY",IF(OR(M341&gt;=3,N341&lt;6.5,L341&gt;=7,Z341&lt;=4),"ŻÓŁTY","OK")))</x:f>
      </x:c>
      <x:c r="AB341" s="226" t="str">
        <x:f>IF(AA341="","",IF(AA341="OK","Realizuj plan normalnie.",IF(AA341="ŻÓŁTY","Skróć 10-30% albo zamień akcent na easy.", "STOP mocne bodźce: wolne/basen/Tacx Z1 48-72 h.")))</x:f>
      </x:c>
    </x:row>
    <x:row r="342">
      <x:c r="A342" s="65" t="n">
        <x:v>46616</x:v>
      </x:c>
      <x:c r="B342" s="66" t="str">
        <x:v>Wtorek</x:v>
      </x:c>
      <x:c r="C342" s="66" t="str">
        <x:v>Tydzień 49 (Taper / start)</x:v>
      </x:c>
      <x:c r="D342" s="66" t="str">
        <x:v>Taper 70.3: redukcja objętości, podtrzymanie czucia tempa, świeżość</x:v>
      </x:c>
      <x:c r="E342" s="66" t="str">
        <x:v>Bieg easy + rytmy</x:v>
      </x:c>
      <x:c r="F342" s="66" t="str">
        <x:v>6-8 km easy + 4x20 s rytmy tylko jeśli świeżo. Tydzień lżejszy.</x:v>
      </x:c>
      <x:c r="G342" s="66" t="str">
        <x:v>REGENERACJA</x:v>
      </x:c>
      <x:c r="H342" s="66" t="str">
        <x:v>Odświeżenie</x:v>
      </x:c>
      <x:c r="I342" s="66" t="str">
        <x:v>Normalne śniadanie, bez wymuszonego ładowania.</x:v>
      </x:c>
      <x:c r="J342" s="66" t="str">
        <x:v>Warzywa + białko + spokojna porcja węgli.</x:v>
      </x:c>
      <x:c r="K342" s="66" t="str">
        <x:v>Lekko, prosto, sen ważniejszy niż idealne makro.</x:v>
      </x:c>
      <x:c r="L342" s="66"/>
      <x:c r="M342" s="66"/>
      <x:c r="N342" s="66"/>
      <x:c r="O342" s="66"/>
      <x:c r="P342" s="66"/>
      <x:c r="Q342" s="66" t="str">
        <x:v>Nie nadrabiaj zaległości. Regeneracja jest częścią planu.</x:v>
      </x:c>
      <x:c r="V342" s="227"/>
      <x:c r="W342" s="228"/>
      <x:c r="X342" s="226"/>
      <x:c r="Y342" s="229"/>
      <x:c r="Z342" s="227"/>
      <x:c r="AA342" s="226" t="str">
        <x:f>IF(AND(L342="",M342="",N342="",Z342=""),"",IF(OR(M342&gt;=5,N342&lt;6,L342&gt;=8),"CZERWONY",IF(OR(M342&gt;=3,N342&lt;6.5,L342&gt;=7,Z342&lt;=4),"ŻÓŁTY","OK")))</x:f>
      </x:c>
      <x:c r="AB342" s="226" t="str">
        <x:f>IF(AA342="","",IF(AA342="OK","Realizuj plan normalnie.",IF(AA342="ŻÓŁTY","Skróć 10-30% albo zamień akcent na easy.", "STOP mocne bodźce: wolne/basen/Tacx Z1 48-72 h.")))</x:f>
      </x:c>
    </x:row>
    <x:row r="343">
      <x:c r="A343" s="113" t="n">
        <x:v>46617</x:v>
      </x:c>
      <x:c r="B343" s="107" t="str">
        <x:v>Środa</x:v>
      </x:c>
      <x:c r="C343" s="107" t="str">
        <x:v>Tydzień 49 (Taper / start)</x:v>
      </x:c>
      <x:c r="D343" s="107" t="str">
        <x:v>Taper 70.3: redukcja objętości, podtrzymanie czucia tempa, świeżość</x:v>
      </x:c>
      <x:c r="E343" s="107" t="str">
        <x:v>Tacx regeneracyjny</x:v>
      </x:c>
      <x:c r="F343" s="107" t="str">
        <x:v>45-60 min Z1/Z2 135-165 W. STAŁY limit regeneracji: bez skalowania minut, bez sweet spot.</x:v>
      </x:c>
      <x:c r="G343" s="107" t="str">
        <x:v>REGENERACJA</x:v>
      </x:c>
      <x:c r="H343" s="107" t="str">
        <x:v>Odświeżenie</x:v>
      </x:c>
      <x:c r="I343" s="107" t="str">
        <x:v>Normalne śniadanie, bez wymuszonego ładowania.</x:v>
      </x:c>
      <x:c r="J343" s="107" t="str">
        <x:v>Warzywa + białko + spokojna porcja węgli.</x:v>
      </x:c>
      <x:c r="K343" s="107" t="str">
        <x:v>Lekko, prosto, sen ważniejszy niż idealne makro.</x:v>
      </x:c>
      <x:c r="L343" s="107"/>
      <x:c r="M343" s="107"/>
      <x:c r="N343" s="107"/>
      <x:c r="O343" s="107"/>
      <x:c r="P343" s="107"/>
      <x:c r="Q343" s="107" t="str">
        <x:v>Nie nadrabiaj zaległości. Regeneracja jest częścią planu.</x:v>
      </x:c>
      <x:c r="V343" s="227"/>
      <x:c r="W343" s="228"/>
      <x:c r="X343" s="226"/>
      <x:c r="Y343" s="229"/>
      <x:c r="Z343" s="227"/>
      <x:c r="AA343" s="226" t="str">
        <x:f>IF(AND(L343="",M343="",N343="",Z343=""),"",IF(OR(M343&gt;=5,N343&lt;6,L343&gt;=8),"CZERWONY",IF(OR(M343&gt;=3,N343&lt;6.5,L343&gt;=7,Z343&lt;=4),"ŻÓŁTY","OK")))</x:f>
      </x:c>
      <x:c r="AB343" s="226" t="str">
        <x:f>IF(AA343="","",IF(AA343="OK","Realizuj plan normalnie.",IF(AA343="ŻÓŁTY","Skróć 10-30% albo zamień akcent na easy.", "STOP mocne bodźce: wolne/basen/Tacx Z1 48-72 h.")))</x:f>
      </x:c>
    </x:row>
    <x:row r="344">
      <x:c r="A344" s="77" t="n">
        <x:v>46618</x:v>
      </x:c>
      <x:c r="B344" s="78" t="str">
        <x:v>Czwartek</x:v>
      </x:c>
      <x:c r="C344" s="78" t="str">
        <x:v>Tydzień 49 (Taper / start)</x:v>
      </x:c>
      <x:c r="D344" s="78" t="str">
        <x:v>Taper 70.3: redukcja objętości, podtrzymanie czucia tempa, świeżość</x:v>
      </x:c>
      <x:c r="E344" s="78" t="str">
        <x:v>Bieg easy + BASEN</x:v>
      </x:c>
      <x:c r="F344" s="78" t="str">
        <x:v>RANO: 6-10 km easy + mobility. WIECZÓR: 1200-1800 m lekko: technika + 6x50 m w tempie startowym, pełny luz.</x:v>
      </x:c>
      <x:c r="G344" s="78" t="str">
        <x:v>ŁATWY</x:v>
      </x:c>
      <x:c r="H344" s="78" t="str">
        <x:v>Progresja pływania/CSS</x:v>
      </x:c>
      <x:c r="I344" s="78" t="str">
        <x:v>Jajka lub jogurt/skyr + owoce; kawa spokojnie.</x:v>
      </x:c>
      <x:c r="J344" s="78" t="str">
        <x:v>Zupa/kasza/ryż + warzywa + białko; nawodnienie.</x:v>
      </x:c>
      <x:c r="K344" s="78" t="str">
        <x:v>Lekka kolacja: ryż/ziemniaki + ryba/tofu/jaja + warzywa.</x:v>
      </x:c>
      <x:c r="L344" s="78"/>
      <x:c r="M344" s="78"/>
      <x:c r="N344" s="78"/>
      <x:c r="O344" s="78"/>
      <x:c r="P344" s="78"/>
      <x:c r="Q344" s="78" t="str">
        <x:v>Jeśli technika się sypie: skróć odcinki, wydłuż przerwy, nie dokładaj metrów.</x:v>
      </x:c>
      <x:c r="V344" s="227"/>
      <x:c r="W344" s="228"/>
      <x:c r="X344" s="226"/>
      <x:c r="Y344" s="229"/>
      <x:c r="Z344" s="227"/>
      <x:c r="AA344" s="226" t="str">
        <x:f>IF(AND(L344="",M344="",N344="",Z344=""),"",IF(OR(M344&gt;=5,N344&lt;6,L344&gt;=8),"CZERWONY",IF(OR(M344&gt;=3,N344&lt;6.5,L344&gt;=7,Z344&lt;=4),"ŻÓŁTY","OK")))</x:f>
      </x:c>
      <x:c r="AB344" s="226" t="str">
        <x:f>IF(AA344="","",IF(AA344="OK","Realizuj plan normalnie.",IF(AA344="ŻÓŁTY","Skróć 10-30% albo zamień akcent na easy.", "STOP mocne bodźce: wolne/basen/Tacx Z1 48-72 h.")))</x:f>
      </x:c>
    </x:row>
    <x:row r="345">
      <x:c r="A345" s="71" t="n">
        <x:v>46619</x:v>
      </x:c>
      <x:c r="B345" s="72" t="str">
        <x:v>Piątek</x:v>
      </x:c>
      <x:c r="C345" s="72" t="str">
        <x:v>Tydzień 49 (Taper / start)</x:v>
      </x:c>
      <x:c r="D345" s="72" t="str">
        <x:v>Taper 70.3: redukcja objętości, podtrzymanie czucia tempa, świeżość</x:v>
      </x:c>
      <x:c r="E345" s="72" t="str">
        <x:v>WOLNE</x:v>
      </x:c>
      <x:c r="F345" s="72" t="str">
        <x:v>Pełna regeneracja. Zero nadrabiania. Sprawdź sen, RPE i ból.</x:v>
      </x:c>
      <x:c r="G345" s="72" t="str">
        <x:v>WOLNE</x:v>
      </x:c>
      <x:c r="H345" s="72" t="str">
        <x:v>Adaptacja</x:v>
      </x:c>
      <x:c r="I345" s="72" t="str">
        <x:v>Normalne śniadanie, bez wymuszonego ładowania.</x:v>
      </x:c>
      <x:c r="J345" s="72" t="str">
        <x:v>Warzywa + białko + spokojna porcja węgli.</x:v>
      </x:c>
      <x:c r="K345" s="72" t="str">
        <x:v>Lekko, prosto, sen ważniejszy niż idealne makro.</x:v>
      </x:c>
      <x:c r="L345" s="72"/>
      <x:c r="M345" s="72"/>
      <x:c r="N345" s="72"/>
      <x:c r="O345" s="72"/>
      <x:c r="P345" s="72"/>
      <x:c r="Q345" s="72" t="str">
        <x:v>Nie nadrabiaj zaległości. Regeneracja jest częścią planu.</x:v>
      </x:c>
      <x:c r="V345" s="227"/>
      <x:c r="W345" s="228"/>
      <x:c r="X345" s="226"/>
      <x:c r="Y345" s="229"/>
      <x:c r="Z345" s="227"/>
      <x:c r="AA345" s="226" t="str">
        <x:f>IF(AND(L345="",M345="",N345="",Z345=""),"",IF(OR(M345&gt;=5,N345&lt;6,L345&gt;=8),"CZERWONY",IF(OR(M345&gt;=3,N345&lt;6.5,L345&gt;=7,Z345&lt;=4),"ŻÓŁTY","OK")))</x:f>
      </x:c>
      <x:c r="AB345" s="226" t="str">
        <x:f>IF(AA345="","",IF(AA345="OK","Realizuj plan normalnie.",IF(AA345="ŻÓŁTY","Skróć 10-30% albo zamień akcent na easy.", "STOP mocne bodźce: wolne/basen/Tacx Z1 48-72 h.")))</x:f>
      </x:c>
    </x:row>
    <x:row r="346">
      <x:c r="A346" s="113" t="n">
        <x:v>46620</x:v>
      </x:c>
      <x:c r="B346" s="107" t="str">
        <x:v>Sobota</x:v>
      </x:c>
      <x:c r="C346" s="107" t="str">
        <x:v>Tydzień 49 (Taper / start)</x:v>
      </x:c>
      <x:c r="D346" s="107" t="str">
        <x:v>Taper 70.3: redukcja objętości, podtrzymanie czucia tempa, świeżość</x:v>
      </x:c>
      <x:c r="E346" s="107" t="str">
        <x:v>Rower regeneracyjny</x:v>
      </x:c>
      <x:c r="F346" s="107" t="str">
        <x:v>45-60 min Z1/Z2. Bez T2. To jest prawdziwy tydzień regeneracyjny.</x:v>
      </x:c>
      <x:c r="G346" s="107" t="str">
        <x:v>REGENERACJA</x:v>
      </x:c>
      <x:c r="H346" s="107" t="str">
        <x:v>Zrzut zmęczenia</x:v>
      </x:c>
      <x:c r="I346" s="107" t="str">
        <x:v>Normalne śniadanie, bez wymuszonego ładowania.</x:v>
      </x:c>
      <x:c r="J346" s="107" t="str">
        <x:v>Warzywa + białko + spokojna porcja węgli.</x:v>
      </x:c>
      <x:c r="K346" s="107" t="str">
        <x:v>Lekko, prosto, sen ważniejszy niż idealne makro.</x:v>
      </x:c>
      <x:c r="L346" s="107"/>
      <x:c r="M346" s="107"/>
      <x:c r="N346" s="107"/>
      <x:c r="O346" s="107"/>
      <x:c r="P346" s="107"/>
      <x:c r="Q346" s="107" t="str">
        <x:v>Nie nadrabiaj zaległości. Regeneracja jest częścią planu.</x:v>
      </x:c>
      <x:c r="V346" s="227"/>
      <x:c r="W346" s="228"/>
      <x:c r="X346" s="226"/>
      <x:c r="Y346" s="229"/>
      <x:c r="Z346" s="227"/>
      <x:c r="AA346" s="226" t="str">
        <x:f>IF(AND(L346="",M346="",N346="",Z346=""),"",IF(OR(M346&gt;=5,N346&lt;6,L346&gt;=8),"CZERWONY",IF(OR(M346&gt;=3,N346&lt;6.5,L346&gt;=7,Z346&lt;=4),"ŻÓŁTY","OK")))</x:f>
      </x:c>
      <x:c r="AB346" s="226" t="str">
        <x:f>IF(AA346="","",IF(AA346="OK","Realizuj plan normalnie.",IF(AA346="ŻÓŁTY","Skróć 10-30% albo zamień akcent na easy.", "STOP mocne bodźce: wolne/basen/Tacx Z1 48-72 h.")))</x:f>
      </x:c>
    </x:row>
    <x:row r="347">
      <x:c r="A347" s="65" t="n">
        <x:v>46621</x:v>
      </x:c>
      <x:c r="B347" s="66" t="str">
        <x:v>Niedziela</x:v>
      </x:c>
      <x:c r="C347" s="66" t="str">
        <x:v>Tydzień 49 (Taper / start)</x:v>
      </x:c>
      <x:c r="D347" s="66" t="str">
        <x:v>Taper 70.3: redukcja objętości, podtrzymanie czucia tempa, świeżość</x:v>
      </x:c>
      <x:c r="E347" s="66" t="str">
        <x:v>Bieg taper krótki</x:v>
      </x:c>
      <x:c r="F347" s="66" t="str">
        <x:v>8-10 km easy + 4x20 s rytmy. Bez zmęczenia.</x:v>
      </x:c>
      <x:c r="G347" s="66" t="str">
        <x:v>ŁATWY</x:v>
      </x:c>
      <x:c r="H347" s="66" t="str">
        <x:v>Świeżość</x:v>
      </x:c>
      <x:c r="I347" s="66" t="str">
        <x:v>Normalne śniadanie, bez wymuszonego ładowania.</x:v>
      </x:c>
      <x:c r="J347" s="66" t="str">
        <x:v>Warzywa + białko + spokojna porcja węgli.</x:v>
      </x:c>
      <x:c r="K347" s="66" t="str">
        <x:v>Lekko, prosto, sen ważniejszy niż idealne makro.</x:v>
      </x:c>
      <x:c r="L347" s="66"/>
      <x:c r="M347" s="66"/>
      <x:c r="N347" s="66"/>
      <x:c r="O347" s="66"/>
      <x:c r="P347" s="66"/>
      <x:c r="Q347" s="66" t="str">
        <x:v>Jeśli sobotni rower wszedł ciężko: skróć bieg o 30-50% albo zamień na 40 min easy/spacer.</x:v>
      </x:c>
      <x:c r="V347" s="227"/>
      <x:c r="W347" s="228"/>
      <x:c r="X347" s="226"/>
      <x:c r="Y347" s="229"/>
      <x:c r="Z347" s="227"/>
      <x:c r="AA347" s="226" t="str">
        <x:f>IF(AND(L347="",M347="",N347="",Z347=""),"",IF(OR(M347&gt;=5,N347&lt;6,L347&gt;=8),"CZERWONY",IF(OR(M347&gt;=3,N347&lt;6.5,L347&gt;=7,Z347&lt;=4),"ŻÓŁTY","OK")))</x:f>
      </x:c>
      <x:c r="AB347" s="226" t="str">
        <x:f>IF(AA347="","",IF(AA347="OK","Realizuj plan normalnie.",IF(AA347="ŻÓŁTY","Skróć 10-30% albo zamień akcent na easy.", "STOP mocne bodźce: wolne/basen/Tacx Z1 48-72 h.")))</x:f>
      </x:c>
    </x:row>
    <x:row r="348">
      <x:c r="A348" s="77" t="n">
        <x:v>46622</x:v>
      </x:c>
      <x:c r="B348" s="78" t="str">
        <x:v>Poniedziałek</x:v>
      </x:c>
      <x:c r="C348" s="78" t="str">
        <x:v>Tydzień 50 (Taper / start)</x:v>
      </x:c>
      <x:c r="D348" s="78" t="str">
        <x:v>Taper 70.3: redukcja objętości, podtrzymanie czucia tempa, świeżość</x:v>
      </x:c>
      <x:c r="E348" s="78" t="str">
        <x:v>BASEN technika</x:v>
      </x:c>
      <x:c r="F348" s="78" t="str">
        <x:v>1200-1800 m lekko: technika + 6x50 m w tempie startowym, pełny luz.</x:v>
      </x:c>
      <x:c r="G348" s="78" t="str">
        <x:v>ŁATWY</x:v>
      </x:c>
      <x:c r="H348" s="78" t="str">
        <x:v>Progresja pływania/CSS</x:v>
      </x:c>
      <x:c r="I348" s="78" t="str">
        <x:v>Jajka lub jogurt/skyr + owoce; kawa spokojnie.</x:v>
      </x:c>
      <x:c r="J348" s="78" t="str">
        <x:v>Zupa/kasza/ryż + warzywa + białko; nawodnienie.</x:v>
      </x:c>
      <x:c r="K348" s="78" t="str">
        <x:v>Lekka kolacja: ryż/ziemniaki + ryba/tofu/jaja + warzywa.</x:v>
      </x:c>
      <x:c r="L348" s="78"/>
      <x:c r="M348" s="78"/>
      <x:c r="N348" s="78"/>
      <x:c r="O348" s="78"/>
      <x:c r="P348" s="78"/>
      <x:c r="Q348" s="78" t="str">
        <x:v>Jeśli technika się sypie: skróć odcinki, wydłuż przerwy, nie dokładaj metrów.</x:v>
      </x:c>
      <x:c r="V348" s="227"/>
      <x:c r="W348" s="228"/>
      <x:c r="X348" s="226"/>
      <x:c r="Y348" s="229"/>
      <x:c r="Z348" s="227"/>
      <x:c r="AA348" s="226" t="str">
        <x:f>IF(AND(L348="",M348="",N348="",Z348=""),"",IF(OR(M348&gt;=5,N348&lt;6,L348&gt;=8),"CZERWONY",IF(OR(M348&gt;=3,N348&lt;6.5,L348&gt;=7,Z348&lt;=4),"ŻÓŁTY","OK")))</x:f>
      </x:c>
      <x:c r="AB348" s="226" t="str">
        <x:f>IF(AA348="","",IF(AA348="OK","Realizuj plan normalnie.",IF(AA348="ŻÓŁTY","Skróć 10-30% albo zamień akcent na easy.", "STOP mocne bodźce: wolne/basen/Tacx Z1 48-72 h.")))</x:f>
      </x:c>
    </x:row>
    <x:row r="349">
      <x:c r="A349" s="65" t="n">
        <x:v>46623</x:v>
      </x:c>
      <x:c r="B349" s="66" t="str">
        <x:v>Wtorek</x:v>
      </x:c>
      <x:c r="C349" s="66" t="str">
        <x:v>Tydzień 50 (Taper / start)</x:v>
      </x:c>
      <x:c r="D349" s="66" t="str">
        <x:v>Taper 70.3: redukcja objętości, podtrzymanie czucia tempa, świeżość</x:v>
      </x:c>
      <x:c r="E349" s="66" t="str">
        <x:v>Bieg easy + rytmy</x:v>
      </x:c>
      <x:c r="F349" s="66" t="str">
        <x:v>6-8 km easy + 4x20 s rytmy tylko jeśli świeżo. Tydzień lżejszy.</x:v>
      </x:c>
      <x:c r="G349" s="66" t="str">
        <x:v>REGENERACJA</x:v>
      </x:c>
      <x:c r="H349" s="66" t="str">
        <x:v>Odświeżenie</x:v>
      </x:c>
      <x:c r="I349" s="66" t="str">
        <x:v>Normalne śniadanie, bez wymuszonego ładowania.</x:v>
      </x:c>
      <x:c r="J349" s="66" t="str">
        <x:v>Warzywa + białko + spokojna porcja węgli.</x:v>
      </x:c>
      <x:c r="K349" s="66" t="str">
        <x:v>Lekko, prosto, sen ważniejszy niż idealne makro.</x:v>
      </x:c>
      <x:c r="L349" s="66"/>
      <x:c r="M349" s="66"/>
      <x:c r="N349" s="66"/>
      <x:c r="O349" s="66"/>
      <x:c r="P349" s="66"/>
      <x:c r="Q349" s="66" t="str">
        <x:v>Nie nadrabiaj zaległości. Regeneracja jest częścią planu.</x:v>
      </x:c>
      <x:c r="V349" s="227"/>
      <x:c r="W349" s="228"/>
      <x:c r="X349" s="226"/>
      <x:c r="Y349" s="229"/>
      <x:c r="Z349" s="227"/>
      <x:c r="AA349" s="226" t="str">
        <x:f>IF(AND(L349="",M349="",N349="",Z349=""),"",IF(OR(M349&gt;=5,N349&lt;6,L349&gt;=8),"CZERWONY",IF(OR(M349&gt;=3,N349&lt;6.5,L349&gt;=7,Z349&lt;=4),"ŻÓŁTY","OK")))</x:f>
      </x:c>
      <x:c r="AB349" s="226" t="str">
        <x:f>IF(AA349="","",IF(AA349="OK","Realizuj plan normalnie.",IF(AA349="ŻÓŁTY","Skróć 10-30% albo zamień akcent na easy.", "STOP mocne bodźce: wolne/basen/Tacx Z1 48-72 h.")))</x:f>
      </x:c>
    </x:row>
    <x:row r="350">
      <x:c r="A350" s="113" t="n">
        <x:v>46624</x:v>
      </x:c>
      <x:c r="B350" s="107" t="str">
        <x:v>Środa</x:v>
      </x:c>
      <x:c r="C350" s="107" t="str">
        <x:v>Tydzień 50 (Taper / start)</x:v>
      </x:c>
      <x:c r="D350" s="107" t="str">
        <x:v>Taper 70.3: redukcja objętości, podtrzymanie czucia tempa, świeżość</x:v>
      </x:c>
      <x:c r="E350" s="107" t="str">
        <x:v>Tacx regeneracyjny</x:v>
      </x:c>
      <x:c r="F350" s="107" t="str">
        <x:v>45-60 min Z1/Z2 135-165 W. STAŁY limit regeneracji: bez skalowania minut, bez sweet spot.</x:v>
      </x:c>
      <x:c r="G350" s="107" t="str">
        <x:v>REGENERACJA</x:v>
      </x:c>
      <x:c r="H350" s="107" t="str">
        <x:v>Odświeżenie</x:v>
      </x:c>
      <x:c r="I350" s="107" t="str">
        <x:v>Normalne śniadanie, bez wymuszonego ładowania.</x:v>
      </x:c>
      <x:c r="J350" s="107" t="str">
        <x:v>Warzywa + białko + spokojna porcja węgli.</x:v>
      </x:c>
      <x:c r="K350" s="107" t="str">
        <x:v>Lekko, prosto, sen ważniejszy niż idealne makro.</x:v>
      </x:c>
      <x:c r="L350" s="107"/>
      <x:c r="M350" s="107"/>
      <x:c r="N350" s="107"/>
      <x:c r="O350" s="107"/>
      <x:c r="P350" s="107"/>
      <x:c r="Q350" s="107" t="str">
        <x:v>Nie nadrabiaj zaległości. Regeneracja jest częścią planu.</x:v>
      </x:c>
      <x:c r="V350" s="227"/>
      <x:c r="W350" s="228"/>
      <x:c r="X350" s="226"/>
      <x:c r="Y350" s="229"/>
      <x:c r="Z350" s="227"/>
      <x:c r="AA350" s="226" t="str">
        <x:f>IF(AND(L350="",M350="",N350="",Z350=""),"",IF(OR(M350&gt;=5,N350&lt;6,L350&gt;=8),"CZERWONY",IF(OR(M350&gt;=3,N350&lt;6.5,L350&gt;=7,Z350&lt;=4),"ŻÓŁTY","OK")))</x:f>
      </x:c>
      <x:c r="AB350" s="226" t="str">
        <x:f>IF(AA350="","",IF(AA350="OK","Realizuj plan normalnie.",IF(AA350="ŻÓŁTY","Skróć 10-30% albo zamień akcent na easy.", "STOP mocne bodźce: wolne/basen/Tacx Z1 48-72 h.")))</x:f>
      </x:c>
    </x:row>
    <x:row r="351">
      <x:c r="A351" s="77" t="n">
        <x:v>46625</x:v>
      </x:c>
      <x:c r="B351" s="78" t="str">
        <x:v>Czwartek</x:v>
      </x:c>
      <x:c r="C351" s="78" t="str">
        <x:v>Tydzień 50 (Taper / start)</x:v>
      </x:c>
      <x:c r="D351" s="78" t="str">
        <x:v>Taper 70.3: redukcja objętości, podtrzymanie czucia tempa, świeżość</x:v>
      </x:c>
      <x:c r="E351" s="78" t="str">
        <x:v>Bieg easy + BASEN</x:v>
      </x:c>
      <x:c r="F351" s="78" t="str">
        <x:v>RANO: 6-10 km easy + mobility. WIECZÓR: 1200-1800 m lekko: technika + 6x50 m w tempie startowym, pełny luz.</x:v>
      </x:c>
      <x:c r="G351" s="78" t="str">
        <x:v>ŁATWY</x:v>
      </x:c>
      <x:c r="H351" s="78" t="str">
        <x:v>Progresja pływania/CSS</x:v>
      </x:c>
      <x:c r="I351" s="78" t="str">
        <x:v>Jajka lub jogurt/skyr + owoce; kawa spokojnie.</x:v>
      </x:c>
      <x:c r="J351" s="78" t="str">
        <x:v>Zupa/kasza/ryż + warzywa + białko; nawodnienie.</x:v>
      </x:c>
      <x:c r="K351" s="78" t="str">
        <x:v>Lekka kolacja: ryż/ziemniaki + ryba/tofu/jaja + warzywa.</x:v>
      </x:c>
      <x:c r="L351" s="78"/>
      <x:c r="M351" s="78"/>
      <x:c r="N351" s="78"/>
      <x:c r="O351" s="78"/>
      <x:c r="P351" s="78"/>
      <x:c r="Q351" s="78" t="str">
        <x:v>Jeśli technika się sypie: skróć odcinki, wydłuż przerwy, nie dokładaj metrów.</x:v>
      </x:c>
      <x:c r="V351" s="227"/>
      <x:c r="W351" s="228"/>
      <x:c r="X351" s="226"/>
      <x:c r="Y351" s="229"/>
      <x:c r="Z351" s="227"/>
      <x:c r="AA351" s="226" t="str">
        <x:f>IF(AND(L351="",M351="",N351="",Z351=""),"",IF(OR(M351&gt;=5,N351&lt;6,L351&gt;=8),"CZERWONY",IF(OR(M351&gt;=3,N351&lt;6.5,L351&gt;=7,Z351&lt;=4),"ŻÓŁTY","OK")))</x:f>
      </x:c>
      <x:c r="AB351" s="226" t="str">
        <x:f>IF(AA351="","",IF(AA351="OK","Realizuj plan normalnie.",IF(AA351="ŻÓŁTY","Skróć 10-30% albo zamień akcent na easy.", "STOP mocne bodźce: wolne/basen/Tacx Z1 48-72 h.")))</x:f>
      </x:c>
    </x:row>
    <x:row r="352">
      <x:c r="A352" s="71" t="n">
        <x:v>46626</x:v>
      </x:c>
      <x:c r="B352" s="72" t="str">
        <x:v>Piątek</x:v>
      </x:c>
      <x:c r="C352" s="72" t="str">
        <x:v>Tydzień 50 (Taper / start)</x:v>
      </x:c>
      <x:c r="D352" s="72" t="str">
        <x:v>Taper 70.3: redukcja objętości, podtrzymanie czucia tempa, świeżość</x:v>
      </x:c>
      <x:c r="E352" s="72" t="str">
        <x:v>WOLNE</x:v>
      </x:c>
      <x:c r="F352" s="72" t="str">
        <x:v>Pełna regeneracja. Zero nadrabiania. Sprawdź sen, RPE i ból.</x:v>
      </x:c>
      <x:c r="G352" s="72" t="str">
        <x:v>WOLNE</x:v>
      </x:c>
      <x:c r="H352" s="72" t="str">
        <x:v>Adaptacja</x:v>
      </x:c>
      <x:c r="I352" s="72" t="str">
        <x:v>Normalne śniadanie, bez wymuszonego ładowania.</x:v>
      </x:c>
      <x:c r="J352" s="72" t="str">
        <x:v>Warzywa + białko + spokojna porcja węgli.</x:v>
      </x:c>
      <x:c r="K352" s="72" t="str">
        <x:v>Lekko, prosto, sen ważniejszy niż idealne makro.</x:v>
      </x:c>
      <x:c r="L352" s="72"/>
      <x:c r="M352" s="72"/>
      <x:c r="N352" s="72"/>
      <x:c r="O352" s="72"/>
      <x:c r="P352" s="72"/>
      <x:c r="Q352" s="72" t="str">
        <x:v>Nie nadrabiaj zaległości. Regeneracja jest częścią planu.</x:v>
      </x:c>
      <x:c r="V352" s="227"/>
      <x:c r="W352" s="228"/>
      <x:c r="X352" s="226"/>
      <x:c r="Y352" s="229"/>
      <x:c r="Z352" s="227"/>
      <x:c r="AA352" s="226" t="str">
        <x:f>IF(AND(L352="",M352="",N352="",Z352=""),"",IF(OR(M352&gt;=5,N352&lt;6,L352&gt;=8),"CZERWONY",IF(OR(M352&gt;=3,N352&lt;6.5,L352&gt;=7,Z352&lt;=4),"ŻÓŁTY","OK")))</x:f>
      </x:c>
      <x:c r="AB352" s="226" t="str">
        <x:f>IF(AA352="","",IF(AA352="OK","Realizuj plan normalnie.",IF(AA352="ŻÓŁTY","Skróć 10-30% albo zamień akcent na easy.", "STOP mocne bodźce: wolne/basen/Tacx Z1 48-72 h.")))</x:f>
      </x:c>
    </x:row>
    <x:row r="353">
      <x:c r="A353" s="113" t="n">
        <x:v>46627</x:v>
      </x:c>
      <x:c r="B353" s="107" t="str">
        <x:v>Sobota</x:v>
      </x:c>
      <x:c r="C353" s="107" t="str">
        <x:v>Tydzień 50 (Taper / start)</x:v>
      </x:c>
      <x:c r="D353" s="107" t="str">
        <x:v>Taper 70.3: redukcja objętości, podtrzymanie czucia tempa, świeżość</x:v>
      </x:c>
      <x:c r="E353" s="107" t="str">
        <x:v>Rower regeneracyjny</x:v>
      </x:c>
      <x:c r="F353" s="107" t="str">
        <x:v>45-60 min Z1/Z2. Bez T2. To jest prawdziwy tydzień regeneracyjny.</x:v>
      </x:c>
      <x:c r="G353" s="107" t="str">
        <x:v>REGENERACJA</x:v>
      </x:c>
      <x:c r="H353" s="107" t="str">
        <x:v>Zrzut zmęczenia</x:v>
      </x:c>
      <x:c r="I353" s="107" t="str">
        <x:v>Normalne śniadanie, bez wymuszonego ładowania.</x:v>
      </x:c>
      <x:c r="J353" s="107" t="str">
        <x:v>Warzywa + białko + spokojna porcja węgli.</x:v>
      </x:c>
      <x:c r="K353" s="107" t="str">
        <x:v>Lekko, prosto, sen ważniejszy niż idealne makro.</x:v>
      </x:c>
      <x:c r="L353" s="107"/>
      <x:c r="M353" s="107"/>
      <x:c r="N353" s="107"/>
      <x:c r="O353" s="107"/>
      <x:c r="P353" s="107"/>
      <x:c r="Q353" s="107" t="str">
        <x:v>Nie nadrabiaj zaległości. Regeneracja jest częścią planu.</x:v>
      </x:c>
      <x:c r="V353" s="227"/>
      <x:c r="W353" s="228"/>
      <x:c r="X353" s="226"/>
      <x:c r="Y353" s="229"/>
      <x:c r="Z353" s="227"/>
      <x:c r="AA353" s="226" t="str">
        <x:f>IF(AND(L353="",M353="",N353="",Z353=""),"",IF(OR(M353&gt;=5,N353&lt;6,L353&gt;=8),"CZERWONY",IF(OR(M353&gt;=3,N353&lt;6.5,L353&gt;=7,Z353&lt;=4),"ŻÓŁTY","OK")))</x:f>
      </x:c>
      <x:c r="AB353" s="226" t="str">
        <x:f>IF(AA353="","",IF(AA353="OK","Realizuj plan normalnie.",IF(AA353="ŻÓŁTY","Skróć 10-30% albo zamień akcent na easy.", "STOP mocne bodźce: wolne/basen/Tacx Z1 48-72 h.")))</x:f>
      </x:c>
    </x:row>
    <x:row r="354">
      <x:c r="A354" s="65" t="n">
        <x:v>46628</x:v>
      </x:c>
      <x:c r="B354" s="66" t="str">
        <x:v>Niedziela</x:v>
      </x:c>
      <x:c r="C354" s="66" t="str">
        <x:v>Tydzień 50 (Taper / start)</x:v>
      </x:c>
      <x:c r="D354" s="66" t="str">
        <x:v>Taper 70.3: redukcja objętości, podtrzymanie czucia tempa, świeżość</x:v>
      </x:c>
      <x:c r="E354" s="66" t="str">
        <x:v>Bieg taper krótki</x:v>
      </x:c>
      <x:c r="F354" s="66" t="str">
        <x:v>6-8 km easy + 3x1 min w tempie startowym. Tylko podtrzymanie.</x:v>
      </x:c>
      <x:c r="G354" s="66" t="str">
        <x:v>ŁATWY</x:v>
      </x:c>
      <x:c r="H354" s="66" t="str">
        <x:v>Świeżość</x:v>
      </x:c>
      <x:c r="I354" s="66" t="str">
        <x:v>Normalne śniadanie, bez wymuszonego ładowania.</x:v>
      </x:c>
      <x:c r="J354" s="66" t="str">
        <x:v>Warzywa + białko + spokojna porcja węgli.</x:v>
      </x:c>
      <x:c r="K354" s="66" t="str">
        <x:v>Lekko, prosto, sen ważniejszy niż idealne makro.</x:v>
      </x:c>
      <x:c r="L354" s="66"/>
      <x:c r="M354" s="66"/>
      <x:c r="N354" s="66"/>
      <x:c r="O354" s="66"/>
      <x:c r="P354" s="66"/>
      <x:c r="Q354" s="66" t="str">
        <x:v>Jeśli sobotni rower wszedł ciężko: skróć bieg o 30-50% albo zamień na 40 min easy/spacer.</x:v>
      </x:c>
      <x:c r="V354" s="227"/>
      <x:c r="W354" s="228"/>
      <x:c r="X354" s="226"/>
      <x:c r="Y354" s="229"/>
      <x:c r="Z354" s="227"/>
      <x:c r="AA354" s="226" t="str">
        <x:f>IF(AND(L354="",M354="",N354="",Z354=""),"",IF(OR(M354&gt;=5,N354&lt;6,L354&gt;=8),"CZERWONY",IF(OR(M354&gt;=3,N354&lt;6.5,L354&gt;=7,Z354&lt;=4),"ŻÓŁTY","OK")))</x:f>
      </x:c>
      <x:c r="AB354" s="226" t="str">
        <x:f>IF(AA354="","",IF(AA354="OK","Realizuj plan normalnie.",IF(AA354="ŻÓŁTY","Skróć 10-30% albo zamień akcent na easy.", "STOP mocne bodźce: wolne/basen/Tacx Z1 48-72 h.")))</x:f>
      </x:c>
    </x:row>
    <x:row r="355">
      <x:c r="A355" s="77" t="n">
        <x:v>46629</x:v>
      </x:c>
      <x:c r="B355" s="78" t="str">
        <x:v>Poniedziałek</x:v>
      </x:c>
      <x:c r="C355" s="78" t="str">
        <x:v>Tydzień 51 (Taper / start)</x:v>
      </x:c>
      <x:c r="D355" s="78" t="str">
        <x:v>Taper 70.3: redukcja objętości, podtrzymanie czucia tempa, świeżość</x:v>
      </x:c>
      <x:c r="E355" s="78" t="str">
        <x:v>BASEN lekko / open water jeśli bezpiecznie</x:v>
      </x:c>
      <x:c r="F355" s="78" t="str">
        <x:v>600-1000 m luźno + 4x50 m w tempie startowym. Bez zmęczenia.</x:v>
      </x:c>
      <x:c r="G355" s="78" t="str">
        <x:v>REGENERACJA</x:v>
      </x:c>
      <x:c r="H355" s="78" t="str">
        <x:v>Progresja pływania/CSS</x:v>
      </x:c>
      <x:c r="I355" s="78" t="str">
        <x:v>Normalne śniadanie, bez wymuszonego ładowania.</x:v>
      </x:c>
      <x:c r="J355" s="78" t="str">
        <x:v>Warzywa + białko + spokojna porcja węgli.</x:v>
      </x:c>
      <x:c r="K355" s="78" t="str">
        <x:v>Lekko, prosto, sen ważniejszy niż idealne makro.</x:v>
      </x:c>
      <x:c r="L355" s="78"/>
      <x:c r="M355" s="78"/>
      <x:c r="N355" s="78"/>
      <x:c r="O355" s="78"/>
      <x:c r="P355" s="78"/>
      <x:c r="Q355" s="78" t="str">
        <x:v>Jeśli technika się sypie: skróć odcinki, wydłuż przerwy, nie dokładaj metrów.</x:v>
      </x:c>
      <x:c r="V355" s="227"/>
      <x:c r="W355" s="228"/>
      <x:c r="X355" s="226"/>
      <x:c r="Y355" s="229"/>
      <x:c r="Z355" s="227"/>
      <x:c r="AA355" s="226" t="str">
        <x:f>IF(AND(L355="",M355="",N355="",Z355=""),"",IF(OR(M355&gt;=5,N355&lt;6,L355&gt;=8),"CZERWONY",IF(OR(M355&gt;=3,N355&lt;6.5,L355&gt;=7,Z355&lt;=4),"ŻÓŁTY","OK")))</x:f>
      </x:c>
      <x:c r="AB355" s="226" t="str">
        <x:f>IF(AA355="","",IF(AA355="OK","Realizuj plan normalnie.",IF(AA355="ŻÓŁTY","Skróć 10-30% albo zamień akcent na easy.", "STOP mocne bodźce: wolne/basen/Tacx Z1 48-72 h.")))</x:f>
      </x:c>
    </x:row>
    <x:row r="356">
      <x:c r="A356" s="65" t="n">
        <x:v>46630</x:v>
      </x:c>
      <x:c r="B356" s="66" t="str">
        <x:v>Wtorek</x:v>
      </x:c>
      <x:c r="C356" s="66" t="str">
        <x:v>Tydzień 51 (Taper / start)</x:v>
      </x:c>
      <x:c r="D356" s="66" t="str">
        <x:v>Taper 70.3: redukcja objętości, podtrzymanie czucia tempa, świeżość</x:v>
      </x:c>
      <x:c r="E356" s="66" t="str">
        <x:v>Bieg rozruch</x:v>
      </x:c>
      <x:c r="F356" s="66" t="str">
        <x:v>5 km easy + 4x20 s rytmy. Kontrola nóg.</x:v>
      </x:c>
      <x:c r="G356" s="66" t="str">
        <x:v>ŁATWY</x:v>
      </x:c>
      <x:c r="H356" s="66" t="str">
        <x:v>Rytm</x:v>
      </x:c>
      <x:c r="I356" s="66" t="str">
        <x:v>Jajka lub jogurt/skyr + owoce; kawa spokojnie.</x:v>
      </x:c>
      <x:c r="J356" s="66" t="str">
        <x:v>Zupa/kasza/ryż + warzywa + białko; nawodnienie.</x:v>
      </x:c>
      <x:c r="K356" s="66" t="str">
        <x:v>Lekka kolacja: ryż/ziemniaki + ryba/tofu/jaja + warzywa.</x:v>
      </x:c>
      <x:c r="L356" s="66"/>
      <x:c r="M356" s="66"/>
      <x:c r="N356" s="66"/>
      <x:c r="O356" s="66"/>
      <x:c r="P356" s="66"/>
      <x:c r="Q356" s="66" t="str">
        <x:v>Jeśli nogi ciężkie: skróć o 20-30% i trzymaj Z1/Z2.</x:v>
      </x:c>
      <x:c r="V356" s="227"/>
      <x:c r="W356" s="228"/>
      <x:c r="X356" s="226"/>
      <x:c r="Y356" s="229"/>
      <x:c r="Z356" s="227"/>
      <x:c r="AA356" s="226" t="str">
        <x:f>IF(AND(L356="",M356="",N356="",Z356=""),"",IF(OR(M356&gt;=5,N356&lt;6,L356&gt;=8),"CZERWONY",IF(OR(M356&gt;=3,N356&lt;6.5,L356&gt;=7,Z356&lt;=4),"ŻÓŁTY","OK")))</x:f>
      </x:c>
      <x:c r="AB356" s="226" t="str">
        <x:f>IF(AA356="","",IF(AA356="OK","Realizuj plan normalnie.",IF(AA356="ŻÓŁTY","Skróć 10-30% albo zamień akcent na easy.", "STOP mocne bodźce: wolne/basen/Tacx Z1 48-72 h.")))</x:f>
      </x:c>
    </x:row>
    <x:row r="357" ht="26" customHeight="1">
      <x:c r="A357" s="148" t="n">
        <x:v>46631</x:v>
      </x:c>
      <x:c r="B357" s="149" t="str">
        <x:v>Środa</x:v>
      </x:c>
      <x:c r="C357" s="149" t="str">
        <x:v>Tydzień 51 (Taper / start)</x:v>
      </x:c>
      <x:c r="D357" s="162" t="str">
        <x:v>Taper 70.3: redukcja objętości, podtrzymanie czucia tempa, świeżość</x:v>
      </x:c>
      <x:c r="E357" s="162" t="str">
        <x:v>Rower rozruch</x:v>
      </x:c>
      <x:c r="F357" s="162" t="str">
        <x:v>40-45 min bardzo lekko + 3x1 min w mocy startowej, pełny luz między.</x:v>
      </x:c>
      <x:c r="G357" s="162" t="str">
        <x:v>REGENERACJA</x:v>
      </x:c>
      <x:c r="H357" s="162" t="str">
        <x:v>Sprzęt + nogi</x:v>
      </x:c>
      <x:c r="I357" s="162" t="str">
        <x:v>Normalne śniadanie, bez wymuszonego ładowania.</x:v>
      </x:c>
      <x:c r="J357" s="162" t="str">
        <x:v>Warzywa + białko + spokojna porcja węgli.</x:v>
      </x:c>
      <x:c r="K357" s="162" t="str">
        <x:v>Lekko, prosto, sen ważniejszy niż idealne makro.</x:v>
      </x:c>
      <x:c r="L357" s="162"/>
      <x:c r="M357" s="162"/>
      <x:c r="N357" s="162"/>
      <x:c r="O357" s="162"/>
      <x:c r="P357" s="162"/>
      <x:c r="Q357" s="162" t="str">
        <x:v>Nie nadrabiaj zaległości. Regeneracja jest częścią planu.</x:v>
      </x:c>
      <x:c r="R357" s="136" t="str">
        <x:v>WRZESIEŃ 2027</x:v>
      </x:c>
      <x:c r="V357" s="227"/>
      <x:c r="W357" s="228"/>
      <x:c r="X357" s="226"/>
      <x:c r="Y357" s="229"/>
      <x:c r="Z357" s="227"/>
      <x:c r="AA357" s="226" t="str">
        <x:f>IF(AND(L357="",M357="",N357="",Z357=""),"",IF(OR(M357&gt;=5,N357&lt;6,L357&gt;=8),"CZERWONY",IF(OR(M357&gt;=3,N357&lt;6.5,L357&gt;=7,Z357&lt;=4),"ŻÓŁTY","OK")))</x:f>
      </x:c>
      <x:c r="AB357" s="226" t="str">
        <x:f>IF(AA357="","",IF(AA357="OK","Realizuj plan normalnie.",IF(AA357="ŻÓŁTY","Skróć 10-30% albo zamień akcent na easy.", "STOP mocne bodźce: wolne/basen/Tacx Z1 48-72 h.")))</x:f>
      </x:c>
    </x:row>
    <x:row r="358">
      <x:c r="A358" s="77" t="n">
        <x:v>46632</x:v>
      </x:c>
      <x:c r="B358" s="78" t="str">
        <x:v>Czwartek</x:v>
      </x:c>
      <x:c r="C358" s="78" t="str">
        <x:v>Tydzień 51 (Taper / start)</x:v>
      </x:c>
      <x:c r="D358" s="78" t="str">
        <x:v>Taper 70.3: redukcja objętości, podtrzymanie czucia tempa, świeżość</x:v>
      </x:c>
      <x:c r="E358" s="78" t="str">
        <x:v>BASEN krótki</x:v>
      </x:c>
      <x:c r="F358" s="78" t="str">
        <x:v>600-1000 m luźno + 4x50 m w tempie startowym. Bez zmęczenia.</x:v>
      </x:c>
      <x:c r="G358" s="78" t="str">
        <x:v>REGENERACJA</x:v>
      </x:c>
      <x:c r="H358" s="78" t="str">
        <x:v>Progresja pływania/CSS</x:v>
      </x:c>
      <x:c r="I358" s="78" t="str">
        <x:v>Normalne śniadanie, bez wymuszonego ładowania.</x:v>
      </x:c>
      <x:c r="J358" s="78" t="str">
        <x:v>Warzywa + białko + spokojna porcja węgli.</x:v>
      </x:c>
      <x:c r="K358" s="78" t="str">
        <x:v>Lekko, prosto, sen ważniejszy niż idealne makro.</x:v>
      </x:c>
      <x:c r="L358" s="78"/>
      <x:c r="M358" s="78"/>
      <x:c r="N358" s="78"/>
      <x:c r="O358" s="78"/>
      <x:c r="P358" s="78"/>
      <x:c r="Q358" s="78" t="str">
        <x:v>Jeśli technika się sypie: skróć odcinki, wydłuż przerwy, nie dokładaj metrów.</x:v>
      </x:c>
      <x:c r="V358" s="227"/>
      <x:c r="W358" s="228"/>
      <x:c r="X358" s="226"/>
      <x:c r="Y358" s="229"/>
      <x:c r="Z358" s="227"/>
      <x:c r="AA358" s="226" t="str">
        <x:f>IF(AND(L358="",M358="",N358="",Z358=""),"",IF(OR(M358&gt;=5,N358&lt;6,L358&gt;=8),"CZERWONY",IF(OR(M358&gt;=3,N358&lt;6.5,L358&gt;=7,Z358&lt;=4),"ŻÓŁTY","OK")))</x:f>
      </x:c>
      <x:c r="AB358" s="226" t="str">
        <x:f>IF(AA358="","",IF(AA358="OK","Realizuj plan normalnie.",IF(AA358="ŻÓŁTY","Skróć 10-30% albo zamień akcent na easy.", "STOP mocne bodźce: wolne/basen/Tacx Z1 48-72 h.")))</x:f>
      </x:c>
    </x:row>
    <x:row r="359">
      <x:c r="A359" s="71" t="n">
        <x:v>46633</x:v>
      </x:c>
      <x:c r="B359" s="72" t="str">
        <x:v>Piątek</x:v>
      </x:c>
      <x:c r="C359" s="72" t="str">
        <x:v>Tydzień 51 (Taper / start)</x:v>
      </x:c>
      <x:c r="D359" s="72" t="str">
        <x:v>Taper 70.3: redukcja objętości, podtrzymanie czucia tempa, świeżość</x:v>
      </x:c>
      <x:c r="E359" s="72" t="str">
        <x:v>WOLNE / logistyka</x:v>
      </x:c>
      <x:c r="F359" s="72" t="str">
        <x:v>Pakowanie, odbiór pakietu, nawodnienie, proste węgle. Zero nowych produktów.</x:v>
      </x:c>
      <x:c r="G359" s="72" t="str">
        <x:v>WOLNE</x:v>
      </x:c>
      <x:c r="H359" s="72" t="str">
        <x:v>Logistyka</x:v>
      </x:c>
      <x:c r="I359" s="72" t="str">
        <x:v>Normalne śniadanie, bez wymuszonego ładowania.</x:v>
      </x:c>
      <x:c r="J359" s="72" t="str">
        <x:v>Warzywa + białko + spokojna porcja węgli.</x:v>
      </x:c>
      <x:c r="K359" s="72" t="str">
        <x:v>Lekko, prosto, sen ważniejszy niż idealne makro.</x:v>
      </x:c>
      <x:c r="L359" s="72"/>
      <x:c r="M359" s="72"/>
      <x:c r="N359" s="72"/>
      <x:c r="O359" s="72"/>
      <x:c r="P359" s="72"/>
      <x:c r="Q359" s="72" t="str">
        <x:v>Nie nadrabiaj zaległości. Regeneracja jest częścią planu.</x:v>
      </x:c>
      <x:c r="V359" s="227"/>
      <x:c r="W359" s="228"/>
      <x:c r="X359" s="226"/>
      <x:c r="Y359" s="229"/>
      <x:c r="Z359" s="227"/>
      <x:c r="AA359" s="226" t="str">
        <x:f>IF(AND(L359="",M359="",N359="",Z359=""),"",IF(OR(M359&gt;=5,N359&lt;6,L359&gt;=8),"CZERWONY",IF(OR(M359&gt;=3,N359&lt;6.5,L359&gt;=7,Z359&lt;=4),"ŻÓŁTY","OK")))</x:f>
      </x:c>
      <x:c r="AB359" s="226" t="str">
        <x:f>IF(AA359="","",IF(AA359="OK","Realizuj plan normalnie.",IF(AA359="ŻÓŁTY","Skróć 10-30% albo zamień akcent na easy.", "STOP mocne bodźce: wolne/basen/Tacx Z1 48-72 h.")))</x:f>
      </x:c>
    </x:row>
    <x:row r="360">
      <x:c r="A360" s="113" t="n">
        <x:v>46634</x:v>
      </x:c>
      <x:c r="B360" s="107" t="str">
        <x:v>Sobota</x:v>
      </x:c>
      <x:c r="C360" s="107" t="str">
        <x:v>Tydzień 51 (Taper / start)</x:v>
      </x:c>
      <x:c r="D360" s="107" t="str">
        <x:v>Taper 70.3: redukcja objętości, podtrzymanie czucia tempa, świeżość</x:v>
      </x:c>
      <x:c r="E360" s="107" t="str">
        <x:v>Rower + bieg rozruch</x:v>
      </x:c>
      <x:c r="F360" s="107" t="str">
        <x:v>20-25 min roweru + 5-8 min truchtu. Tylko sprawdzenie sprzętu.</x:v>
      </x:c>
      <x:c r="G360" s="107" t="str">
        <x:v>REGENERACJA</x:v>
      </x:c>
      <x:c r="H360" s="107" t="str">
        <x:v>Rozruch</x:v>
      </x:c>
      <x:c r="I360" s="107" t="str">
        <x:v>Normalne śniadanie, bez wymuszonego ładowania.</x:v>
      </x:c>
      <x:c r="J360" s="107" t="str">
        <x:v>Warzywa + białko + spokojna porcja węgli.</x:v>
      </x:c>
      <x:c r="K360" s="107" t="str">
        <x:v>Lekko, prosto, sen ważniejszy niż idealne makro.</x:v>
      </x:c>
      <x:c r="L360" s="107"/>
      <x:c r="M360" s="107"/>
      <x:c r="N360" s="107"/>
      <x:c r="O360" s="107"/>
      <x:c r="P360" s="107"/>
      <x:c r="Q360" s="107" t="str">
        <x:v>Nie nadrabiaj zaległości. Regeneracja jest częścią planu.</x:v>
      </x:c>
      <x:c r="V360" s="227"/>
      <x:c r="W360" s="228"/>
      <x:c r="X360" s="226"/>
      <x:c r="Y360" s="229"/>
      <x:c r="Z360" s="227"/>
      <x:c r="AA360" s="226" t="str">
        <x:f>IF(AND(L360="",M360="",N360="",Z360=""),"",IF(OR(M360&gt;=5,N360&lt;6,L360&gt;=8),"CZERWONY",IF(OR(M360&gt;=3,N360&lt;6.5,L360&gt;=7,Z360&lt;=4),"ŻÓŁTY","OK")))</x:f>
      </x:c>
      <x:c r="AB360" s="226" t="str">
        <x:f>IF(AA360="","",IF(AA360="OK","Realizuj plan normalnie.",IF(AA360="ŻÓŁTY","Skróć 10-30% albo zamień akcent na easy.", "STOP mocne bodźce: wolne/basen/Tacx Z1 48-72 h.")))</x:f>
      </x:c>
    </x:row>
    <x:row r="361">
      <x:c r="A361" s="53" t="n">
        <x:v>46635</x:v>
      </x:c>
      <x:c r="B361" s="54" t="str">
        <x:v>Niedziela</x:v>
      </x:c>
      <x:c r="C361" s="54" t="str">
        <x:v>Tydzień 51 (Taper / start)</x:v>
      </x:c>
      <x:c r="D361" s="54" t="str">
        <x:v>Taper 70.3: redukcja objętości, podtrzymanie czucia tempa, świeżość</x:v>
      </x:c>
      <x:c r="E361" s="54" t="str">
        <x:v>START: IRONMAN 70.3 POZNAŃ</x:v>
      </x:c>
      <x:c r="F361" s="54" t="str">
        <x:v>1,9 km pływanie + 90 km rower + 21,1 km bieg. Plan: kontrola roweru, 70-90 g węgli/h, bieg zacząć zachowawczo.</x:v>
      </x:c>
      <x:c r="G361" s="54" t="str">
        <x:v>TEST/START</x:v>
      </x:c>
      <x:c r="H361" s="54" t="str">
        <x:v>Start główny</x:v>
      </x:c>
      <x:c r="I361" s="54" t="str">
        <x:v>3 h przed: sprawdzony posiłek węglowodanowy; bez nowych produktów.</x:v>
      </x:c>
      <x:c r="J361" s="54" t="str">
        <x:v>Po treningu: ryż/ziemniaki + białko + sól/elektrolity.</x:v>
      </x:c>
      <x:c r="K361" s="54" t="str">
        <x:v>Kolacja regeneracyjna: węgle + białko + warzywa; uzupełnij płyny.</x:v>
      </x:c>
      <x:c r="L361" s="54"/>
      <x:c r="M361" s="54"/>
      <x:c r="N361" s="54"/>
      <x:c r="O361" s="54"/>
      <x:c r="P361" s="54"/>
      <x:c r="Q361" s="54" t="str">
        <x:v>Jeśli ból ≥3/10 lub sen &lt;6 h: zamień na easy 30-45 min albo basen.</x:v>
      </x:c>
      <x:c r="V361" s="227"/>
      <x:c r="W361" s="228"/>
      <x:c r="X361" s="226"/>
      <x:c r="Y361" s="229"/>
      <x:c r="Z361" s="227"/>
      <x:c r="AA361" s="226" t="str">
        <x:f>IF(AND(L361="",M361="",N361="",Z361=""),"",IF(OR(M361&gt;=5,N361&lt;6,L361&gt;=8),"CZERWONY",IF(OR(M361&gt;=3,N361&lt;6.5,L361&gt;=7,Z361&lt;=4),"ŻÓŁTY","OK")))</x:f>
      </x:c>
      <x:c r="AB361" s="226" t="str">
        <x:f>IF(AA361="","",IF(AA361="OK","Realizuj plan normalnie.",IF(AA361="ŻÓŁTY","Skróć 10-30% albo zamień akcent na easy.", "STOP mocne bodźce: wolne/basen/Tacx Z1 48-72 h.")))</x:f>
      </x:c>
    </x:row>
  </x:sheetData>
  <x:mergeCells>
    <x:mergeCell ref="A1:Q1"/>
    <x:mergeCell ref="A2:Q2"/>
    <x:mergeCell ref="S3:U3"/>
  </x:mergeCells>
  <x:conditionalFormatting sqref="L5:L361">
    <x:cfRule type="cellIs" dxfId="34" priority="1" operator="greaterThanOrEqual">
      <x:formula>8</x:formula>
    </x:cfRule>
    <x:cfRule type="expression" dxfId="35" priority="2">
      <x:formula>AND(L5&gt;=6,L5&lt;8)</x:formula>
    </x:cfRule>
  </x:conditionalFormatting>
  <x:conditionalFormatting sqref="M5:M361">
    <x:cfRule type="cellIs" dxfId="36" priority="3" operator="greaterThanOrEqual">
      <x:formula>5</x:formula>
    </x:cfRule>
    <x:cfRule type="expression" dxfId="37" priority="4">
      <x:formula>AND(M5&gt;=3,M5&lt;5)</x:formula>
    </x:cfRule>
  </x:conditionalFormatting>
  <x:conditionalFormatting sqref="N5:N361">
    <x:cfRule type="cellIs" dxfId="38" priority="5" operator="lessThan">
      <x:formula>6</x:formula>
    </x:cfRule>
  </x:conditionalFormatting>
  <x:conditionalFormatting sqref="AA5:AA361">
    <x:cfRule type="expression" dxfId="42" priority="6">
      <x:formula>AA5="OK"</x:formula>
    </x:cfRule>
    <x:cfRule type="expression" dxfId="43" priority="7">
      <x:formula>AA5="ŻÓŁTY"</x:formula>
    </x:cfRule>
    <x:cfRule type="expression" dxfId="44" priority="8">
      <x:formula>AA5="CZERWONY"</x:formula>
    </x:cfRule>
  </x:conditionalFormatting>
  <x:dataValidations count="6">
    <x:dataValidation type="whole" operator="between" sqref="L5:L361">
      <x:formula1>1</x:formula1>
      <x:formula2>10</x:formula2>
    </x:dataValidation>
    <x:dataValidation type="whole" operator="between" sqref="M5:M361">
      <x:formula1>0</x:formula1>
      <x:formula2>10</x:formula2>
    </x:dataValidation>
    <x:dataValidation type="list" sqref="P5:P361">
      <x:formula1>"OK,Skrócone,Zamienione na easy,Pominięte,Ból,Choroba"</x:formula1>
    </x:dataValidation>
    <x:dataValidation type="list" sqref="X5:X361">
      <x:formula1>"Easy shoes,Metaspeed Sky Tokyo,Hoka Cielo X1,Trail,Treadmill,Inne"</x:formula1>
    </x:dataValidation>
    <x:dataValidation type="list" sqref="Y5:Y361">
      <x:formula1>"0%,50%,75%,100%"</x:formula1>
    </x:dataValidation>
    <x:dataValidation type="list" sqref="Z5:Z361">
      <x:formula1>"1,2,3,4,5,6,7,8,9,10"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ea560c04bc421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28" hidden="0" customWidth="1"/>
    <x:col min="4" max="4" width="60" hidden="0" customWidth="1"/>
    <x:col min="5" max="5" width="50" hidden="0" customWidth="1"/>
    <x:col min="7" max="7" width="24" hidden="0" customWidth="1"/>
    <x:col min="8" max="8" width="16" hidden="0" customWidth="1"/>
    <x:col min="9" max="9" width="30" hidden="0" customWidth="1"/>
    <x:col min="10" max="10" width="10" hidden="0" customWidth="1"/>
    <x:col min="11" max="11" width="15" hidden="0" customWidth="1"/>
    <x:col min="12" max="12" width="28" hidden="0" customWidth="1"/>
    <x:col min="13" max="13" width="26" hidden="0" customWidth="1"/>
    <x:col min="14" max="14" width="14" hidden="0" customWidth="1"/>
    <x:col min="15" max="15" width="18" hidden="0" customWidth="1"/>
  </x:cols>
  <x:sheetData>
    <x:row r="1" ht="26" customHeight="1">
      <x:c r="A1" s="115" t="str">
        <x:v>TESTY, KONTROLA I REGUŁY DECYZYJNE</x:v>
      </x:c>
      <x:c r="B1" s="115"/>
      <x:c r="C1" s="115"/>
      <x:c r="D1" s="115"/>
      <x:c r="E1" s="115"/>
      <x:c r="F1" s="115"/>
      <x:c r="G1" s="171" t="str">
        <x:v>AUTOMATYCZNY DASHBOARD Z TWOICH WPISÓW</x:v>
      </x:c>
      <x:c r="H1" s="171"/>
      <x:c r="I1" s="171"/>
      <x:c r="J1" s="171"/>
      <x:c r="K1" s="171"/>
      <x:c r="L1" s="171"/>
      <x:c r="M1" s="171"/>
      <x:c r="N1" s="171"/>
      <x:c r="O1" s="171"/>
      <x:c r="P1" s="31"/>
      <x:c r="Q1" s="31"/>
    </x:row>
    <x:row r="2" ht="34" customHeight="1">
      <x:c r="G2" s="176" t="str">
        <x:v>Uzupełniaj RPE, ból, sen, paliwo/żele i uwagi w FAZA 1 / FAZA 2. Ten panel podsumowuje dane automatycznie.</x:v>
      </x:c>
      <x:c r="H2" s="176"/>
      <x:c r="I2" s="176"/>
      <x:c r="J2" s="176"/>
      <x:c r="K2" s="176"/>
      <x:c r="L2" s="176"/>
      <x:c r="M2" s="176"/>
      <x:c r="N2" s="176"/>
      <x:c r="O2" s="176"/>
    </x:row>
    <x:row r="3" ht="8" customHeight="1">
      <x:c r="A3" s="119" t="str">
        <x:v>Data</x:v>
      </x:c>
      <x:c r="B3" s="119" t="str">
        <x:v>Obszar</x:v>
      </x:c>
      <x:c r="C3" s="119" t="str">
        <x:v>Test / kontrola</x:v>
      </x:c>
      <x:c r="D3" s="119" t="str">
        <x:v>Jak wykonać</x:v>
      </x:c>
      <x:c r="E3" s="119" t="str">
        <x:v>Decyzja po wyniku</x:v>
      </x:c>
      <x:c r="F3" s="82"/>
      <x:c r="G3" s="210"/>
      <x:c r="H3" s="210"/>
      <x:c r="I3" s="211"/>
      <x:c r="J3" s="211"/>
      <x:c r="K3" s="211"/>
      <x:c r="L3" s="211"/>
      <x:c r="M3" s="211"/>
      <x:c r="N3" s="211"/>
      <x:c r="O3" s="211"/>
    </x:row>
    <x:row r="4" ht="22" customHeight="1">
      <x:c r="A4" s="122" t="n">
        <x:v>46214</x:v>
      </x:c>
      <x:c r="B4" s="119" t="str">
        <x:v>Oslo</x:v>
      </x:c>
      <x:c r="C4" s="119" t="str">
        <x:v>Test 10 km</x:v>
      </x:c>
      <x:c r="D4" s="119" t="str">
        <x:v>Rozgrzewka 2-3 km + 10 km mocno-kontrolnie + schłodzenie.</x:v>
      </x:c>
      <x:c r="E4" s="119" t="str">
        <x:v>Aktualizuj tempa: jeśli bardzo ciężko przy 4:35-4:45/km, cel 3:30 zostaje konserwatywny.</x:v>
      </x:c>
      <x:c r="F4" s="82"/>
      <x:c r="G4" s="184" t="str">
        <x:v>Metryka</x:v>
      </x:c>
      <x:c r="H4" s="184" t="str">
        <x:v>Wartość</x:v>
      </x:c>
      <x:c r="I4" s="185" t="str">
        <x:v>Jak czytać</x:v>
      </x:c>
      <x:c r="K4" s="185" t="str">
        <x:v>REGUŁY DECYZYJNE</x:v>
      </x:c>
      <x:c r="L4" s="185"/>
      <x:c r="M4" s="185"/>
      <x:c r="N4" s="185"/>
      <x:c r="O4" s="185"/>
    </x:row>
    <x:row r="5" ht="34" customHeight="1">
      <x:c r="A5" s="22" t="n">
        <x:v>46235</x:v>
      </x:c>
      <x:c r="B5" s="23" t="str">
        <x:v>Oslo</x:v>
      </x:c>
      <x:c r="C5" s="23" t="str">
        <x:v>Półmaraton testowy / symulacja</x:v>
      </x:c>
      <x:c r="D5" s="23" t="str">
        <x:v>Start HM albo 3 km easy + 15 km 4:55-5:05/km + 3 km easy.</x:v>
      </x:c>
      <x:c r="E5" s="23" t="str">
        <x:v>Potwierdza paliwo, buty i realność 3:30.</x:v>
      </x:c>
      <x:c r="G5" s="218" t="str">
        <x:v>Tydzień od</x:v>
      </x:c>
      <x:c r="H5" s="214" t="n">
        <x:f>TODAY()-WEEKDAY(TODAY(),2)+1</x:f>
        <x:v>46181</x:v>
      </x:c>
      <x:c r="I5" s="219" t="str">
        <x:v>automatycznie: poniedziałek bieżącego tygodnia</x:v>
      </x:c>
      <x:c r="K5" s="191" t="str">
        <x:v>ZIELONY</x:v>
      </x:c>
      <x:c r="L5" s="191" t="str">
        <x:v>RPE zgodne z planem, ból 0-2, sen stabilny</x:v>
      </x:c>
      <x:c r="M5" s="191" t="str">
        <x:v>Realizuj plan normalnie</x:v>
      </x:c>
      <x:c r="N5" s="191"/>
      <x:c r="O5" s="191"/>
    </x:row>
    <x:row r="6" ht="34" customHeight="1">
      <x:c r="A6" s="22" t="n">
        <x:v>46277</x:v>
      </x:c>
      <x:c r="B6" s="23" t="str">
        <x:v>Oslo</x:v>
      </x:c>
      <x:c r="C6" s="23" t="str">
        <x:v>START</x:v>
      </x:c>
      <x:c r="D6" s="23" t="str">
        <x:v>Maraton 42,195 km. Paliwo od 25-30 min, potem co 25-35 min.</x:v>
      </x:c>
      <x:c r="E6" s="23" t="str">
        <x:v>Po starcie 3 tygodnie przejścia.</x:v>
      </x:c>
      <x:c r="G6" s="218" t="str">
        <x:v>Tydzień do</x:v>
      </x:c>
      <x:c r="H6" s="214" t="n">
        <x:f>H5+6</x:f>
        <x:v>46187</x:v>
      </x:c>
      <x:c r="I6" s="219" t="str">
        <x:v>automatycznie: niedziela bieżącego tygodnia</x:v>
      </x:c>
      <x:c r="K6" s="191" t="str">
        <x:v>ŻÓŁTY</x:v>
      </x:c>
      <x:c r="L6" s="191" t="str">
        <x:v>RPE rośnie, sen spada albo nogi są ciężkie</x:v>
      </x:c>
      <x:c r="M6" s="191" t="str">
        <x:v>Zetnij objętość 10-20% lub zamień akcent na easy</x:v>
      </x:c>
      <x:c r="N6" s="191"/>
      <x:c r="O6" s="191"/>
    </x:row>
    <x:row r="7" ht="34" customHeight="1">
      <x:c r="A7" s="22" t="n">
        <x:v>46302</x:v>
      </x:c>
      <x:c r="B7" s="23" t="str">
        <x:v>Ironman 70.3</x:v>
      </x:c>
      <x:c r="C7" s="23" t="str">
        <x:v>FTP test #1</x:v>
      </x:c>
      <x:c r="D7" s="23" t="str">
        <x:v>Ramp test albo 20-min FTP. Następnego dnia lekko.</x:v>
      </x:c>
      <x:c r="E7" s="23" t="str">
        <x:v>Aktualizuj wszystkie strefy W i race pace.</x:v>
      </x:c>
      <x:c r="G7" s="218" t="str">
        <x:v>Treningi uzupełnione w tygodniu</x:v>
      </x:c>
      <x:c r="H7" s="215" t="n">
        <x:f>COUNTIFS('FAZA 1 - OSLO MARATHON'!$A$5:$A$99,"&gt;="&amp;$H$5,'FAZA 1 - OSLO MARATHON'!$A$5:$A$99,"&lt;="&amp;$H$6,'FAZA 1 - OSLO MARATHON'!$L$5:$L$99,"&gt;0")+COUNTIFS('FAZA 2 - IRONMAN 70.3 POZNAŃ'!$A$5:$A$361,"&gt;="&amp;$H$5,'FAZA 2 - IRONMAN 70.3 POZNAŃ'!$A$5:$A$361,"&lt;="&amp;$H$6,'FAZA 2 - IRONMAN 70.3 POZNAŃ'!$L$5:$L$361,"&gt;0")</x:f>
        <x:v>0</x:v>
      </x:c>
      <x:c r="I7" s="219" t="str">
        <x:v>liczy wpisane RPE</x:v>
      </x:c>
      <x:c r="K7" s="191" t="str">
        <x:v>POMARAŃCZOWY</x:v>
      </x:c>
      <x:c r="L7" s="191" t="str">
        <x:v>Ból ≥3 powtarza się w kilku dniach</x:v>
      </x:c>
      <x:c r="M7" s="191" t="str">
        <x:v>Usuń interwały/podbieg/T2, zostaw basen/Tacx Z1</x:v>
      </x:c>
      <x:c r="N7" s="191"/>
      <x:c r="O7" s="191"/>
    </x:row>
    <x:row r="8" ht="34" customHeight="1">
      <x:c r="A8" s="22" t="n">
        <x:v>46358</x:v>
      </x:c>
      <x:c r="B8" s="23" t="str">
        <x:v>Ironman 70.3</x:v>
      </x:c>
      <x:c r="C8" s="23" t="str">
        <x:v>FTP test #2</x:v>
      </x:c>
      <x:c r="D8" s="23" t="str">
        <x:v>Ramp test albo 20-min FTP. Następnego dnia lekko.</x:v>
      </x:c>
      <x:c r="E8" s="23" t="str">
        <x:v>Aktualizuj wszystkie strefy W i race pace.</x:v>
      </x:c>
      <x:c r="G8" s="218" t="str">
        <x:v>Średnie RPE w tygodniu</x:v>
      </x:c>
      <x:c r="H8" s="216" t="str">
        <x:f>IFERROR((SUMIFS('FAZA 1 - OSLO MARATHON'!$L$5:$L$99,'FAZA 1 - OSLO MARATHON'!$A$5:$A$99,"&gt;="&amp;$H$5,'FAZA 1 - OSLO MARATHON'!$A$5:$A$99,"&lt;="&amp;$H$6)+SUMIFS('FAZA 2 - IRONMAN 70.3 POZNAŃ'!$L$5:$L$361,'FAZA 2 - IRONMAN 70.3 POZNAŃ'!$A$5:$A$361,"&gt;="&amp;$H$5,'FAZA 2 - IRONMAN 70.3 POZNAŃ'!$A$5:$A$361,"&lt;="&amp;$H$6))/(COUNTIFS('FAZA 1 - OSLO MARATHON'!$A$5:$A$99,"&gt;="&amp;$H$5,'FAZA 1 - OSLO MARATHON'!$A$5:$A$99,"&lt;="&amp;$H$6,'FAZA 1 - OSLO MARATHON'!$L$5:$L$99,"&gt;0")+COUNTIFS('FAZA 2 - IRONMAN 70.3 POZNAŃ'!$A$5:$A$361,"&gt;="&amp;$H$5,'FAZA 2 - IRONMAN 70.3 POZNAŃ'!$A$5:$A$361,"&lt;="&amp;$H$6,'FAZA 2 - IRONMAN 70.3 POZNAŃ'!$L$5:$L$361,"&gt;0")),"")</x:f>
      </x:c>
      <x:c r="I8" s="219" t="str">
        <x:v>jeśli easy wychodzi wysoko, to sygnał zmęczenia</x:v>
      </x:c>
      <x:c r="K8" s="191" t="str">
        <x:v>CZERWONY</x:v>
      </x:c>
      <x:c r="L8" s="191" t="str">
        <x:v>Ból ≥5, ostry ból, kulenie, ból narastający</x:v>
      </x:c>
      <x:c r="M8" s="191" t="str">
        <x:v>STOP mocnych bodźców 48-72 h; wróć dopiero po poprawie</x:v>
      </x:c>
      <x:c r="N8" s="191"/>
      <x:c r="O8" s="191"/>
    </x:row>
    <x:row r="9" ht="34" customHeight="1">
      <x:c r="A9" s="22" t="n">
        <x:v>46414</x:v>
      </x:c>
      <x:c r="B9" s="23" t="str">
        <x:v>Ironman 70.3</x:v>
      </x:c>
      <x:c r="C9" s="23" t="str">
        <x:v>FTP test #3</x:v>
      </x:c>
      <x:c r="D9" s="23" t="str">
        <x:v>Ramp test albo 20-min FTP. Następnego dnia lekko.</x:v>
      </x:c>
      <x:c r="E9" s="23" t="str">
        <x:v>Aktualizuj wszystkie strefy W i race pace.</x:v>
      </x:c>
      <x:c r="G9" s="218" t="str">
        <x:v>Średnie RPE z 14 dni</x:v>
      </x:c>
      <x:c r="H9" s="216" t="str">
        <x:f>IFERROR((SUMIFS('FAZA 1 - OSLO MARATHON'!$L$5:$L$99,'FAZA 1 - OSLO MARATHON'!$A$5:$A$99,"&gt;="&amp;TODAY()-13,'FAZA 1 - OSLO MARATHON'!$A$5:$A$99,"&lt;="&amp;TODAY())+SUMIFS('FAZA 2 - IRONMAN 70.3 POZNAŃ'!$L$5:$L$361,'FAZA 2 - IRONMAN 70.3 POZNAŃ'!$A$5:$A$361,"&gt;="&amp;TODAY()-13,'FAZA 2 - IRONMAN 70.3 POZNAŃ'!$A$5:$A$361,"&lt;="&amp;TODAY()))/(COUNTIFS('FAZA 1 - OSLO MARATHON'!$A$5:$A$99,"&gt;="&amp;TODAY()-13,'FAZA 1 - OSLO MARATHON'!$A$5:$A$99,"&lt;="&amp;TODAY(),'FAZA 1 - OSLO MARATHON'!$L$5:$L$99,"&gt;0")+COUNTIFS('FAZA 2 - IRONMAN 70.3 POZNAŃ'!$A$5:$A$361,"&gt;="&amp;TODAY()-13,'FAZA 2 - IRONMAN 70.3 POZNAŃ'!$A$5:$A$361,"&lt;="&amp;TODAY(),'FAZA 2 - IRONMAN 70.3 POZNAŃ'!$L$5:$L$361,"&gt;0")),"")</x:f>
      </x:c>
      <x:c r="I9" s="219" t="str">
        <x:v>trend obciążenia</x:v>
      </x:c>
      <x:c r="K9" s="191" t="str">
        <x:v>ZASADA</x:v>
      </x:c>
      <x:c r="L9" s="191" t="str">
        <x:v>Easy ma być easy</x:v>
      </x:c>
      <x:c r="M9" s="191" t="str">
        <x:v>Jeśli easy = RPE 6-7, to nie jest regeneracja</x:v>
      </x:c>
      <x:c r="N9" s="191"/>
      <x:c r="O9" s="191"/>
    </x:row>
    <x:row r="10" ht="22" customHeight="1">
      <x:c r="A10" s="22" t="n">
        <x:v>46470</x:v>
      </x:c>
      <x:c r="B10" s="23" t="str">
        <x:v>Ironman 70.3</x:v>
      </x:c>
      <x:c r="C10" s="23" t="str">
        <x:v>FTP test #4</x:v>
      </x:c>
      <x:c r="D10" s="23" t="str">
        <x:v>Ramp test albo 20-min FTP. Następnego dnia lekko.</x:v>
      </x:c>
      <x:c r="E10" s="23" t="str">
        <x:v>Aktualizuj wszystkie strefy W i race pace.</x:v>
      </x:c>
      <x:c r="G10" s="218" t="str">
        <x:v>Średni ból w tygodniu</x:v>
      </x:c>
      <x:c r="H10" s="216" t="str">
        <x:f>IFERROR((SUMIFS('FAZA 1 - OSLO MARATHON'!$M$5:$M$99,'FAZA 1 - OSLO MARATHON'!$A$5:$A$99,"&gt;="&amp;$H$5,'FAZA 1 - OSLO MARATHON'!$A$5:$A$99,"&lt;="&amp;$H$6)+SUMIFS('FAZA 2 - IRONMAN 70.3 POZNAŃ'!$M$5:$M$361,'FAZA 2 - IRONMAN 70.3 POZNAŃ'!$A$5:$A$361,"&gt;="&amp;$H$5,'FAZA 2 - IRONMAN 70.3 POZNAŃ'!$A$5:$A$361,"&lt;="&amp;$H$6))/(COUNTIFS('FAZA 1 - OSLO MARATHON'!$A$5:$A$99,"&gt;="&amp;$H$5,'FAZA 1 - OSLO MARATHON'!$A$5:$A$99,"&lt;="&amp;$H$6,'FAZA 1 - OSLO MARATHON'!$M$5:$M$99,"&gt;=0",'FAZA 1 - OSLO MARATHON'!$M$5:$M$99,"&lt;&gt;")+COUNTIFS('FAZA 2 - IRONMAN 70.3 POZNAŃ'!$A$5:$A$361,"&gt;="&amp;$H$5,'FAZA 2 - IRONMAN 70.3 POZNAŃ'!$A$5:$A$361,"&lt;="&amp;$H$6,'FAZA 2 - IRONMAN 70.3 POZNAŃ'!$M$5:$M$361,"&gt;=0",'FAZA 2 - IRONMAN 70.3 POZNAŃ'!$M$5:$M$361,"&lt;&gt;")),"")</x:f>
      </x:c>
      <x:c r="I10" s="219" t="str">
        <x:v>0-2 OK, 3+ obserwuj, 5+ odpuść</x:v>
      </x:c>
    </x:row>
    <x:row r="11" ht="22" customHeight="1">
      <x:c r="A11" s="22" t="n">
        <x:v>46526</x:v>
      </x:c>
      <x:c r="B11" s="23" t="str">
        <x:v>Ironman 70.3</x:v>
      </x:c>
      <x:c r="C11" s="23" t="str">
        <x:v>FTP test #5</x:v>
      </x:c>
      <x:c r="D11" s="23" t="str">
        <x:v>Ramp test albo 20-min FTP. Następnego dnia lekko.</x:v>
      </x:c>
      <x:c r="E11" s="23" t="str">
        <x:v>Aktualizuj wszystkie strefy W i race pace.</x:v>
      </x:c>
      <x:c r="G11" s="218" t="str">
        <x:v>Dni z bólem ≥3 w 14 dni</x:v>
      </x:c>
      <x:c r="H11" s="215" t="n">
        <x:f>COUNTIFS('FAZA 1 - OSLO MARATHON'!$A$5:$A$99,"&gt;="&amp;TODAY()-13,'FAZA 1 - OSLO MARATHON'!$A$5:$A$99,"&lt;="&amp;TODAY(),'FAZA 1 - OSLO MARATHON'!$M$5:$M$99,"&gt;=3")+COUNTIFS('FAZA 2 - IRONMAN 70.3 POZNAŃ'!$A$5:$A$361,"&gt;="&amp;TODAY()-13,'FAZA 2 - IRONMAN 70.3 POZNAŃ'!$A$5:$A$361,"&lt;="&amp;TODAY(),'FAZA 2 - IRONMAN 70.3 POZNAŃ'!$M$5:$M$361,"&gt;=3")</x:f>
        <x:v>0</x:v>
      </x:c>
      <x:c r="I11" s="219" t="str">
        <x:v>częste 3+ = zmniejsz obciążenie</x:v>
      </x:c>
    </x:row>
    <x:row r="12" ht="22" customHeight="1">
      <x:c r="A12" s="22" t="n">
        <x:v>46582</x:v>
      </x:c>
      <x:c r="B12" s="23" t="str">
        <x:v>Ironman 70.3</x:v>
      </x:c>
      <x:c r="C12" s="23" t="str">
        <x:v>FTP test #6</x:v>
      </x:c>
      <x:c r="D12" s="23" t="str">
        <x:v>Ramp test albo 20-min FTP. Następnego dnia lekko.</x:v>
      </x:c>
      <x:c r="E12" s="23" t="str">
        <x:v>Aktualizuj wszystkie strefy W i race pace.</x:v>
      </x:c>
      <x:c r="G12" s="218" t="str">
        <x:v>Dni z bólem ≥5 w 14 dni</x:v>
      </x:c>
      <x:c r="H12" s="215" t="n">
        <x:f>COUNTIFS('FAZA 1 - OSLO MARATHON'!$A$5:$A$99,"&gt;="&amp;TODAY()-13,'FAZA 1 - OSLO MARATHON'!$A$5:$A$99,"&lt;="&amp;TODAY(),'FAZA 1 - OSLO MARATHON'!$M$5:$M$99,"&gt;=5")+COUNTIFS('FAZA 2 - IRONMAN 70.3 POZNAŃ'!$A$5:$A$361,"&gt;="&amp;TODAY()-13,'FAZA 2 - IRONMAN 70.3 POZNAŃ'!$A$5:$A$361,"&lt;="&amp;TODAY(),'FAZA 2 - IRONMAN 70.3 POZNAŃ'!$M$5:$M$361,"&gt;=5")</x:f>
        <x:v>0</x:v>
      </x:c>
      <x:c r="I12" s="219" t="str">
        <x:v>5+ = przerwij mocne treningi</x:v>
      </x:c>
    </x:row>
    <x:row r="13" ht="22" customHeight="1">
      <x:c r="A13" s="22" t="n">
        <x:v>46527</x:v>
      </x:c>
      <x:c r="B13" s="23" t="str">
        <x:v>Ironman 70.3</x:v>
      </x:c>
      <x:c r="C13" s="23" t="str">
        <x:v>Start open water</x:v>
      </x:c>
      <x:c r="D13" s="23" t="str">
        <x:v>Od tego tygodnia 1x/tydz. woda otwarta, jeśli warunki bezpieczne.</x:v>
      </x:c>
      <x:c r="E13" s="23" t="str">
        <x:v>Jeśli lęk/chaos: więcej krótkich sesji OW, nie tylko basen.</x:v>
      </x:c>
      <x:c r="G13" s="218" t="str">
        <x:v>Średni sen w tygodniu</x:v>
      </x:c>
      <x:c r="H13" s="216" t="str">
        <x:f>IFERROR((SUMIFS('FAZA 1 - OSLO MARATHON'!$N$5:$N$99,'FAZA 1 - OSLO MARATHON'!$A$5:$A$99,"&gt;="&amp;$H$5,'FAZA 1 - OSLO MARATHON'!$A$5:$A$99,"&lt;="&amp;$H$6)+SUMIFS('FAZA 2 - IRONMAN 70.3 POZNAŃ'!$N$5:$N$361,'FAZA 2 - IRONMAN 70.3 POZNAŃ'!$A$5:$A$361,"&gt;="&amp;$H$5,'FAZA 2 - IRONMAN 70.3 POZNAŃ'!$A$5:$A$361,"&lt;="&amp;$H$6))/(COUNTIFS('FAZA 1 - OSLO MARATHON'!$A$5:$A$99,"&gt;="&amp;$H$5,'FAZA 1 - OSLO MARATHON'!$A$5:$A$99,"&lt;="&amp;$H$6,'FAZA 1 - OSLO MARATHON'!$N$5:$N$99,"&gt;0")+COUNTIFS('FAZA 2 - IRONMAN 70.3 POZNAŃ'!$A$5:$A$361,"&gt;="&amp;$H$5,'FAZA 2 - IRONMAN 70.3 POZNAŃ'!$A$5:$A$361,"&lt;="&amp;$H$6,'FAZA 2 - IRONMAN 70.3 POZNAŃ'!$N$5:$N$361,"&gt;0")),"")</x:f>
      </x:c>
      <x:c r="I13" s="219" t="str">
        <x:v>poniżej 6 h = nie dokładaj intensywności</x:v>
      </x:c>
    </x:row>
    <x:row r="14" ht="22" customHeight="1">
      <x:c r="A14" s="22" t="n">
        <x:v>46571</x:v>
      </x:c>
      <x:c r="B14" s="23" t="str">
        <x:v>Ironman 70.3</x:v>
      </x:c>
      <x:c r="C14" s="23" t="str">
        <x:v>START TESTOWY C-priority</x:v>
      </x:c>
      <x:c r="D14" s="23" t="str">
        <x:v>Sprint/olimpijka albo własna symulacja: OW 750-1500 m + rower 30-40 km + bieg 5-10 km.</x:v>
      </x:c>
      <x:c r="E14" s="23" t="str">
        <x:v>Test T1/T2, stresu, paliwa i sprzętu. Bez ścigania na maksa.</x:v>
      </x:c>
      <x:c r="G14" s="218" t="str">
        <x:v>Średni sen z 14 dni</x:v>
      </x:c>
      <x:c r="H14" s="216" t="str">
        <x:f>IFERROR((SUMIFS('FAZA 1 - OSLO MARATHON'!$N$5:$N$99,'FAZA 1 - OSLO MARATHON'!$A$5:$A$99,"&gt;="&amp;TODAY()-13,'FAZA 1 - OSLO MARATHON'!$A$5:$A$99,"&lt;="&amp;TODAY())+SUMIFS('FAZA 2 - IRONMAN 70.3 POZNAŃ'!$N$5:$N$361,'FAZA 2 - IRONMAN 70.3 POZNAŃ'!$A$5:$A$361,"&gt;="&amp;TODAY()-13,'FAZA 2 - IRONMAN 70.3 POZNAŃ'!$A$5:$A$361,"&lt;="&amp;TODAY()))/(COUNTIFS('FAZA 1 - OSLO MARATHON'!$A$5:$A$99,"&gt;="&amp;TODAY()-13,'FAZA 1 - OSLO MARATHON'!$A$5:$A$99,"&lt;="&amp;TODAY(),'FAZA 1 - OSLO MARATHON'!$N$5:$N$99,"&gt;0")+COUNTIFS('FAZA 2 - IRONMAN 70.3 POZNAŃ'!$A$5:$A$361,"&gt;="&amp;TODAY()-13,'FAZA 2 - IRONMAN 70.3 POZNAŃ'!$A$5:$A$361,"&lt;="&amp;TODAY(),'FAZA 2 - IRONMAN 70.3 POZNAŃ'!$N$5:$N$361,"&gt;0")),"")</x:f>
      </x:c>
      <x:c r="I14" s="219" t="str">
        <x:v>trend regeneracji</x:v>
      </x:c>
    </x:row>
    <x:row r="15" ht="22" customHeight="1">
      <x:c r="A15" s="22" t="n">
        <x:v>46592</x:v>
      </x:c>
      <x:c r="B15" s="23" t="str">
        <x:v>Ironman 70.3</x:v>
      </x:c>
      <x:c r="C15" s="23" t="str">
        <x:v>Symulacja 70.3 z capem</x:v>
      </x:c>
      <x:c r="D15" s="23" t="str">
        <x:v>Max 210-220 min roweru + 8-10 km T2; pełne paliwo 70-90 g węgli/h; pozycja aero.</x:v>
      </x:c>
      <x:c r="E15" s="23" t="str">
        <x:v>Ostateczna korekta watów, tempa biegu, żeli i ustawień sprzętu.</x:v>
      </x:c>
      <x:c r="G15" s="218" t="str">
        <x:v>Paliwo/żele wpisane 14 dni</x:v>
      </x:c>
      <x:c r="H15" s="215" t="n">
        <x:f>COUNTIFS('FAZA 1 - OSLO MARATHON'!$A$5:$A$99,"&gt;="&amp;TODAY()-13,'FAZA 1 - OSLO MARATHON'!$A$5:$A$99,"&lt;="&amp;TODAY(),'FAZA 1 - OSLO MARATHON'!$O$5:$O$99,"&lt;&gt;")+COUNTIFS('FAZA 2 - IRONMAN 70.3 POZNAŃ'!$A$5:$A$361,"&gt;="&amp;TODAY()-13,'FAZA 2 - IRONMAN 70.3 POZNAŃ'!$A$5:$A$361,"&lt;="&amp;TODAY(),'FAZA 2 - IRONMAN 70.3 POZNAŃ'!$O$5:$O$361,"&lt;&gt;")</x:f>
        <x:v>0</x:v>
      </x:c>
      <x:c r="I15" s="219" t="str">
        <x:v>pilnuje testów żywienia na długich jednostkach</x:v>
      </x:c>
    </x:row>
    <x:row r="16" ht="42" customHeight="1">
      <x:c r="A16" s="22" t="n">
        <x:v>46635</x:v>
      </x:c>
      <x:c r="B16" s="23" t="str">
        <x:v>Ironman 70.3</x:v>
      </x:c>
      <x:c r="C16" s="23" t="str">
        <x:v>START - data robocza</x:v>
      </x:c>
      <x:c r="D16" s="23" t="str">
        <x:v>1,9 km + 90 km + 21,1 km. Data 2027 do potwierdzenia.</x:v>
      </x:c>
      <x:c r="E16" s="23" t="str">
        <x:v>Po potwierdzeniu daty przesunąć taper, nie cały plan.</x:v>
      </x:c>
      <x:c r="G16" s="218" t="str">
        <x:v>Decyzja automatyczna</x:v>
      </x:c>
      <x:c r="H16" s="217" t="str">
        <x:f>IF(H12&gt;=1,"CZERWONY: ból ≥5 — odpuść mocne bodźce 48-72 h",IF(H11&gt;=3,"POMARAŃCZOWY: częsty ból ≥3 — zetnij objętość 20-30%",IF(AND(ISNUMBER(H9),H9&gt;=6.5,ISNUMBER(H14),H14&lt;6),"ŻÓŁTY: RPE wysokie + sen niski — lżej 1-2 dni",IF(H7=0,"BRAK DANYCH: wpisz RPE po treningach","ZIELONY: kontynuuj plan"))))</x:f>
        <x:v>BRAK DANYCH: wpisz RPE po treningach</x:v>
      </x:c>
      <x:c r="I16" s="219" t="str">
        <x:v>reguła z bólu, RPE i snu</x:v>
      </x:c>
    </x:row>
    <x:row r="17" ht="22" customHeight="1">
      <x:c r="A17" s="22"/>
      <x:c r="B17" s="23" t="str">
        <x:v>Reguła bólu</x:v>
      </x:c>
      <x:c r="C17" s="23" t="str">
        <x:v>Ból 0-10</x:v>
      </x:c>
      <x:c r="D17" s="23" t="str">
        <x:v>Ból ≥4/10: zamień akcent na basen/Tacx Z1 i wpisz uwagę.</x:v>
      </x:c>
      <x:c r="E17" s="23" t="str">
        <x:v>Nie nadrabiaj utraconych jednostek.</x:v>
      </x:c>
    </x:row>
    <x:row r="18" ht="22" customHeight="1">
      <x:c r="A18" s="22"/>
      <x:c r="B18" s="23" t="str">
        <x:v>Reguła zmęczenia</x:v>
      </x:c>
      <x:c r="C18" s="23" t="str">
        <x:v>Sen/RPE</x:v>
      </x:c>
      <x:c r="D18" s="23" t="str">
        <x:v>Sen &lt;6 h + RPE wysokie: skróć o 20-40% lub zrób wolne.</x:v>
      </x:c>
      <x:c r="E18" s="23" t="str">
        <x:v>Lepiej stracić dzień niż tydzień.</x:v>
      </x:c>
    </x:row>
    <x:row r="19" ht="22" customHeight="1">
      <x:c r="A19" s="23"/>
      <x:c r="B19" s="23" t="str">
        <x:v>Paliwo</x:v>
      </x:c>
      <x:c r="C19" s="23" t="str">
        <x:v>Długie rowery/biegi</x:v>
      </x:c>
      <x:c r="D19" s="23" t="str">
        <x:v>60-90 g węgli/h + elektrolity; testuj żele i izotonik, nie w dzień startu.</x:v>
      </x:c>
      <x:c r="E19" s="23" t="str">
        <x:v>Zapisuj tolerancję w kolumnie P.</x:v>
      </x:c>
      <x:c r="G19" s="171" t="str">
        <x:v>PODSUMOWANIE MIESIĘCZNE WPISÓW</x:v>
      </x:c>
      <x:c r="H19" s="171"/>
      <x:c r="I19" s="171"/>
      <x:c r="J19" s="171"/>
      <x:c r="K19" s="171"/>
      <x:c r="L19" s="171"/>
      <x:c r="M19" s="171"/>
      <x:c r="N19" s="171"/>
      <x:c r="O19" s="171"/>
    </x:row>
    <x:row r="20" ht="8" customHeight="1">
      <x:c r="A20" s="82"/>
      <x:c r="B20" s="82"/>
      <x:c r="C20" s="82"/>
      <x:c r="D20" s="82"/>
      <x:c r="E20" s="82"/>
      <x:c r="F20" s="82"/>
      <x:c r="G20" s="210"/>
      <x:c r="H20" s="210"/>
      <x:c r="I20" s="211"/>
      <x:c r="J20" s="211"/>
      <x:c r="K20" s="211"/>
      <x:c r="L20" s="211"/>
      <x:c r="M20" s="211"/>
      <x:c r="N20" s="211"/>
      <x:c r="O20" s="211"/>
    </x:row>
    <x:row r="21" ht="30" customHeight="1">
      <x:c r="G21" s="185" t="str">
        <x:v>Miesiąc</x:v>
      </x:c>
      <x:c r="H21" s="185" t="str">
        <x:v>Wpisane treningi</x:v>
      </x:c>
      <x:c r="I21" s="185" t="str">
        <x:v>Śr. RPE</x:v>
      </x:c>
      <x:c r="J21" s="185" t="str">
        <x:v>Śr. ból</x:v>
      </x:c>
      <x:c r="K21" s="185" t="str">
        <x:v>Ból ≥3</x:v>
      </x:c>
      <x:c r="L21" s="185" t="str">
        <x:v>Ból ≥5</x:v>
      </x:c>
      <x:c r="M21" s="185" t="str">
        <x:v>Śr. sen</x:v>
      </x:c>
      <x:c r="N21" s="185" t="str">
        <x:v>Paliwo/żele</x:v>
      </x:c>
      <x:c r="O21" s="185" t="str">
        <x:v>Sygnał</x:v>
      </x:c>
    </x:row>
    <x:row r="22" ht="22" customHeight="1">
      <x:c r="G22" s="200" t="n">
        <x:v>46174</x:v>
      </x:c>
      <x:c r="H22" s="212" t="n">
        <x:f>COUNTIFS('FAZA 1 - OSLO MARATHON'!$A$5:$A$99,"&gt;="&amp;$G22,'FAZA 1 - OSLO MARATHON'!$A$5:$A$99,"&lt;"&amp;EDATE($G22,1),'FAZA 1 - OSLO MARATHON'!$L$5:$L$99,"&gt;0")+COUNTIFS('FAZA 2 - IRONMAN 70.3 POZNAŃ'!$A$5:$A$361,"&gt;="&amp;$G22,'FAZA 2 - IRONMAN 70.3 POZNAŃ'!$A$5:$A$361,"&lt;"&amp;EDATE($G22,1),'FAZA 2 - IRONMAN 70.3 POZNAŃ'!$L$5:$L$361,"&gt;0")</x:f>
        <x:v>0</x:v>
      </x:c>
      <x:c r="I22" s="213" t="str">
        <x:f>IFERROR((SUMIFS('FAZA 1 - OSLO MARATHON'!$L$5:$L$99,'FAZA 1 - OSLO MARATHON'!$A$5:$A$99,"&gt;="&amp;$G22,'FAZA 1 - OSLO MARATHON'!$A$5:$A$99,"&lt;"&amp;EDATE($G22,1))+SUMIFS('FAZA 2 - IRONMAN 70.3 POZNAŃ'!$L$5:$L$361,'FAZA 2 - IRONMAN 70.3 POZNAŃ'!$A$5:$A$361,"&gt;="&amp;$G22,'FAZA 2 - IRONMAN 70.3 POZNAŃ'!$A$5:$A$361,"&lt;"&amp;EDATE($G22,1)))/(COUNTIFS('FAZA 1 - OSLO MARATHON'!$A$5:$A$99,"&gt;="&amp;$G22,'FAZA 1 - OSLO MARATHON'!$A$5:$A$99,"&lt;"&amp;EDATE($G22,1),'FAZA 1 - OSLO MARATHON'!$L$5:$L$99,"&gt;0")+COUNTIFS('FAZA 2 - IRONMAN 70.3 POZNAŃ'!$A$5:$A$361,"&gt;="&amp;$G22,'FAZA 2 - IRONMAN 70.3 POZNAŃ'!$A$5:$A$361,"&lt;"&amp;EDATE($G22,1),'FAZA 2 - IRONMAN 70.3 POZNAŃ'!$L$5:$L$361,"&gt;0")),"")</x:f>
      </x:c>
      <x:c r="J22" s="213" t="str">
        <x:f>IFERROR((SUMIFS('FAZA 1 - OSLO MARATHON'!$M$5:$M$99,'FAZA 1 - OSLO MARATHON'!$A$5:$A$99,"&gt;="&amp;$G22,'FAZA 1 - OSLO MARATHON'!$A$5:$A$99,"&lt;"&amp;EDATE($G22,1))+SUMIFS('FAZA 2 - IRONMAN 70.3 POZNAŃ'!$M$5:$M$361,'FAZA 2 - IRONMAN 70.3 POZNAŃ'!$A$5:$A$361,"&gt;="&amp;$G22,'FAZA 2 - IRONMAN 70.3 POZNAŃ'!$A$5:$A$361,"&lt;"&amp;EDATE($G22,1)))/(COUNTIFS('FAZA 1 - OSLO MARATHON'!$A$5:$A$99,"&gt;="&amp;$G22,'FAZA 1 - OSLO MARATHON'!$A$5:$A$99,"&lt;"&amp;EDATE($G22,1),'FAZA 1 - OSLO MARATHON'!$M$5:$M$99,"&gt;=0",'FAZA 1 - OSLO MARATHON'!$M$5:$M$99,"&lt;&gt;")+COUNTIFS('FAZA 2 - IRONMAN 70.3 POZNAŃ'!$A$5:$A$361,"&gt;="&amp;$G22,'FAZA 2 - IRONMAN 70.3 POZNAŃ'!$A$5:$A$361,"&lt;"&amp;EDATE($G22,1),'FAZA 2 - IRONMAN 70.3 POZNAŃ'!$M$5:$M$361,"&gt;=0",'FAZA 2 - IRONMAN 70.3 POZNAŃ'!$M$5:$M$361,"&lt;&gt;")),"")</x:f>
      </x:c>
      <x:c r="K22" s="212" t="n">
        <x:f>COUNTIFS('FAZA 1 - OSLO MARATHON'!$A$5:$A$99,"&gt;="&amp;$G22,'FAZA 1 - OSLO MARATHON'!$A$5:$A$99,"&lt;"&amp;EDATE($G22,1),'FAZA 1 - OSLO MARATHON'!$M$5:$M$99,"&gt;=3")+COUNTIFS('FAZA 2 - IRONMAN 70.3 POZNAŃ'!$A$5:$A$361,"&gt;="&amp;$G22,'FAZA 2 - IRONMAN 70.3 POZNAŃ'!$A$5:$A$361,"&lt;"&amp;EDATE($G22,1),'FAZA 2 - IRONMAN 70.3 POZNAŃ'!$M$5:$M$361,"&gt;=3")</x:f>
        <x:v>0</x:v>
      </x:c>
      <x:c r="L22" s="212" t="n">
        <x:f>COUNTIFS('FAZA 1 - OSLO MARATHON'!$A$5:$A$99,"&gt;="&amp;$G22,'FAZA 1 - OSLO MARATHON'!$A$5:$A$99,"&lt;"&amp;EDATE($G22,1),'FAZA 1 - OSLO MARATHON'!$M$5:$M$99,"&gt;=5")+COUNTIFS('FAZA 2 - IRONMAN 70.3 POZNAŃ'!$A$5:$A$361,"&gt;="&amp;$G22,'FAZA 2 - IRONMAN 70.3 POZNAŃ'!$A$5:$A$361,"&lt;"&amp;EDATE($G22,1),'FAZA 2 - IRONMAN 70.3 POZNAŃ'!$M$5:$M$361,"&gt;=5")</x:f>
        <x:v>0</x:v>
      </x:c>
      <x:c r="M22" s="213" t="str">
        <x:f>IFERROR((SUMIFS('FAZA 1 - OSLO MARATHON'!$N$5:$N$99,'FAZA 1 - OSLO MARATHON'!$A$5:$A$99,"&gt;="&amp;$G22,'FAZA 1 - OSLO MARATHON'!$A$5:$A$99,"&lt;"&amp;EDATE($G22,1))+SUMIFS('FAZA 2 - IRONMAN 70.3 POZNAŃ'!$N$5:$N$361,'FAZA 2 - IRONMAN 70.3 POZNAŃ'!$A$5:$A$361,"&gt;="&amp;$G22,'FAZA 2 - IRONMAN 70.3 POZNAŃ'!$A$5:$A$361,"&lt;"&amp;EDATE($G22,1)))/(COUNTIFS('FAZA 1 - OSLO MARATHON'!$A$5:$A$99,"&gt;="&amp;$G22,'FAZA 1 - OSLO MARATHON'!$A$5:$A$99,"&lt;"&amp;EDATE($G22,1),'FAZA 1 - OSLO MARATHON'!$N$5:$N$99,"&gt;0")+COUNTIFS('FAZA 2 - IRONMAN 70.3 POZNAŃ'!$A$5:$A$361,"&gt;="&amp;$G22,'FAZA 2 - IRONMAN 70.3 POZNAŃ'!$A$5:$A$361,"&lt;"&amp;EDATE($G22,1),'FAZA 2 - IRONMAN 70.3 POZNAŃ'!$N$5:$N$361,"&gt;0")),"")</x:f>
      </x:c>
      <x:c r="N22" s="212" t="n">
        <x:f>COUNTIFS('FAZA 1 - OSLO MARATHON'!$A$5:$A$99,"&gt;="&amp;$G22,'FAZA 1 - OSLO MARATHON'!$A$5:$A$99,"&lt;"&amp;EDATE($G22,1),'FAZA 1 - OSLO MARATHON'!$O$5:$O$99,"&lt;&gt;")+COUNTIFS('FAZA 2 - IRONMAN 70.3 POZNAŃ'!$A$5:$A$361,"&gt;="&amp;$G22,'FAZA 2 - IRONMAN 70.3 POZNAŃ'!$A$5:$A$361,"&lt;"&amp;EDATE($G22,1),'FAZA 2 - IRONMAN 70.3 POZNAŃ'!$O$5:$O$361,"&lt;&gt;")</x:f>
        <x:v>0</x:v>
      </x:c>
      <x:c r="O22" s="204" t="str">
        <x:f>IF(L22&gt;=1,"CZERWONY",IF(K22&gt;=4,"POMARAŃCZOWY",IF(AND(ISNUMBER(I22),I22&gt;=6.5,ISNUMBER(M22),M22&lt;6),"ŻÓŁTY",IF(H22=0,"BRAK DANYCH","ZIELONY"))))</x:f>
        <x:v>BRAK DANYCH</x:v>
      </x:c>
    </x:row>
    <x:row r="23" ht="22" customHeight="1">
      <x:c r="G23" s="200" t="n">
        <x:v>46204</x:v>
      </x:c>
      <x:c r="H23" s="212" t="n">
        <x:f>COUNTIFS('FAZA 1 - OSLO MARATHON'!$A$5:$A$99,"&gt;="&amp;$G23,'FAZA 1 - OSLO MARATHON'!$A$5:$A$99,"&lt;"&amp;EDATE($G23,1),'FAZA 1 - OSLO MARATHON'!$L$5:$L$99,"&gt;0")+COUNTIFS('FAZA 2 - IRONMAN 70.3 POZNAŃ'!$A$5:$A$361,"&gt;="&amp;$G23,'FAZA 2 - IRONMAN 70.3 POZNAŃ'!$A$5:$A$361,"&lt;"&amp;EDATE($G23,1),'FAZA 2 - IRONMAN 70.3 POZNAŃ'!$L$5:$L$361,"&gt;0")</x:f>
        <x:v>0</x:v>
      </x:c>
      <x:c r="I23" s="213" t="str">
        <x:f>IFERROR((SUMIFS('FAZA 1 - OSLO MARATHON'!$L$5:$L$99,'FAZA 1 - OSLO MARATHON'!$A$5:$A$99,"&gt;="&amp;$G23,'FAZA 1 - OSLO MARATHON'!$A$5:$A$99,"&lt;"&amp;EDATE($G23,1))+SUMIFS('FAZA 2 - IRONMAN 70.3 POZNAŃ'!$L$5:$L$361,'FAZA 2 - IRONMAN 70.3 POZNAŃ'!$A$5:$A$361,"&gt;="&amp;$G23,'FAZA 2 - IRONMAN 70.3 POZNAŃ'!$A$5:$A$361,"&lt;"&amp;EDATE($G23,1)))/(COUNTIFS('FAZA 1 - OSLO MARATHON'!$A$5:$A$99,"&gt;="&amp;$G23,'FAZA 1 - OSLO MARATHON'!$A$5:$A$99,"&lt;"&amp;EDATE($G23,1),'FAZA 1 - OSLO MARATHON'!$L$5:$L$99,"&gt;0")+COUNTIFS('FAZA 2 - IRONMAN 70.3 POZNAŃ'!$A$5:$A$361,"&gt;="&amp;$G23,'FAZA 2 - IRONMAN 70.3 POZNAŃ'!$A$5:$A$361,"&lt;"&amp;EDATE($G23,1),'FAZA 2 - IRONMAN 70.3 POZNAŃ'!$L$5:$L$361,"&gt;0")),"")</x:f>
      </x:c>
      <x:c r="J23" s="213" t="str">
        <x:f>IFERROR((SUMIFS('FAZA 1 - OSLO MARATHON'!$M$5:$M$99,'FAZA 1 - OSLO MARATHON'!$A$5:$A$99,"&gt;="&amp;$G23,'FAZA 1 - OSLO MARATHON'!$A$5:$A$99,"&lt;"&amp;EDATE($G23,1))+SUMIFS('FAZA 2 - IRONMAN 70.3 POZNAŃ'!$M$5:$M$361,'FAZA 2 - IRONMAN 70.3 POZNAŃ'!$A$5:$A$361,"&gt;="&amp;$G23,'FAZA 2 - IRONMAN 70.3 POZNAŃ'!$A$5:$A$361,"&lt;"&amp;EDATE($G23,1)))/(COUNTIFS('FAZA 1 - OSLO MARATHON'!$A$5:$A$99,"&gt;="&amp;$G23,'FAZA 1 - OSLO MARATHON'!$A$5:$A$99,"&lt;"&amp;EDATE($G23,1),'FAZA 1 - OSLO MARATHON'!$M$5:$M$99,"&gt;=0",'FAZA 1 - OSLO MARATHON'!$M$5:$M$99,"&lt;&gt;")+COUNTIFS('FAZA 2 - IRONMAN 70.3 POZNAŃ'!$A$5:$A$361,"&gt;="&amp;$G23,'FAZA 2 - IRONMAN 70.3 POZNAŃ'!$A$5:$A$361,"&lt;"&amp;EDATE($G23,1),'FAZA 2 - IRONMAN 70.3 POZNAŃ'!$M$5:$M$361,"&gt;=0",'FAZA 2 - IRONMAN 70.3 POZNAŃ'!$M$5:$M$361,"&lt;&gt;")),"")</x:f>
      </x:c>
      <x:c r="K23" s="212" t="n">
        <x:f>COUNTIFS('FAZA 1 - OSLO MARATHON'!$A$5:$A$99,"&gt;="&amp;$G23,'FAZA 1 - OSLO MARATHON'!$A$5:$A$99,"&lt;"&amp;EDATE($G23,1),'FAZA 1 - OSLO MARATHON'!$M$5:$M$99,"&gt;=3")+COUNTIFS('FAZA 2 - IRONMAN 70.3 POZNAŃ'!$A$5:$A$361,"&gt;="&amp;$G23,'FAZA 2 - IRONMAN 70.3 POZNAŃ'!$A$5:$A$361,"&lt;"&amp;EDATE($G23,1),'FAZA 2 - IRONMAN 70.3 POZNAŃ'!$M$5:$M$361,"&gt;=3")</x:f>
        <x:v>0</x:v>
      </x:c>
      <x:c r="L23" s="212" t="n">
        <x:f>COUNTIFS('FAZA 1 - OSLO MARATHON'!$A$5:$A$99,"&gt;="&amp;$G23,'FAZA 1 - OSLO MARATHON'!$A$5:$A$99,"&lt;"&amp;EDATE($G23,1),'FAZA 1 - OSLO MARATHON'!$M$5:$M$99,"&gt;=5")+COUNTIFS('FAZA 2 - IRONMAN 70.3 POZNAŃ'!$A$5:$A$361,"&gt;="&amp;$G23,'FAZA 2 - IRONMAN 70.3 POZNAŃ'!$A$5:$A$361,"&lt;"&amp;EDATE($G23,1),'FAZA 2 - IRONMAN 70.3 POZNAŃ'!$M$5:$M$361,"&gt;=5")</x:f>
        <x:v>0</x:v>
      </x:c>
      <x:c r="M23" s="213" t="str">
        <x:f>IFERROR((SUMIFS('FAZA 1 - OSLO MARATHON'!$N$5:$N$99,'FAZA 1 - OSLO MARATHON'!$A$5:$A$99,"&gt;="&amp;$G23,'FAZA 1 - OSLO MARATHON'!$A$5:$A$99,"&lt;"&amp;EDATE($G23,1))+SUMIFS('FAZA 2 - IRONMAN 70.3 POZNAŃ'!$N$5:$N$361,'FAZA 2 - IRONMAN 70.3 POZNAŃ'!$A$5:$A$361,"&gt;="&amp;$G23,'FAZA 2 - IRONMAN 70.3 POZNAŃ'!$A$5:$A$361,"&lt;"&amp;EDATE($G23,1)))/(COUNTIFS('FAZA 1 - OSLO MARATHON'!$A$5:$A$99,"&gt;="&amp;$G23,'FAZA 1 - OSLO MARATHON'!$A$5:$A$99,"&lt;"&amp;EDATE($G23,1),'FAZA 1 - OSLO MARATHON'!$N$5:$N$99,"&gt;0")+COUNTIFS('FAZA 2 - IRONMAN 70.3 POZNAŃ'!$A$5:$A$361,"&gt;="&amp;$G23,'FAZA 2 - IRONMAN 70.3 POZNAŃ'!$A$5:$A$361,"&lt;"&amp;EDATE($G23,1),'FAZA 2 - IRONMAN 70.3 POZNAŃ'!$N$5:$N$361,"&gt;0")),"")</x:f>
      </x:c>
      <x:c r="N23" s="212" t="n">
        <x:f>COUNTIFS('FAZA 1 - OSLO MARATHON'!$A$5:$A$99,"&gt;="&amp;$G23,'FAZA 1 - OSLO MARATHON'!$A$5:$A$99,"&lt;"&amp;EDATE($G23,1),'FAZA 1 - OSLO MARATHON'!$O$5:$O$99,"&lt;&gt;")+COUNTIFS('FAZA 2 - IRONMAN 70.3 POZNAŃ'!$A$5:$A$361,"&gt;="&amp;$G23,'FAZA 2 - IRONMAN 70.3 POZNAŃ'!$A$5:$A$361,"&lt;"&amp;EDATE($G23,1),'FAZA 2 - IRONMAN 70.3 POZNAŃ'!$O$5:$O$361,"&lt;&gt;")</x:f>
        <x:v>0</x:v>
      </x:c>
      <x:c r="O23" s="204" t="str">
        <x:f>IF(L23&gt;=1,"CZERWONY",IF(K23&gt;=4,"POMARAŃCZOWY",IF(AND(ISNUMBER(I23),I23&gt;=6.5,ISNUMBER(M23),M23&lt;6),"ŻÓŁTY",IF(H23=0,"BRAK DANYCH","ZIELONY"))))</x:f>
        <x:v>BRAK DANYCH</x:v>
      </x:c>
    </x:row>
    <x:row r="24" ht="22" customHeight="1">
      <x:c r="G24" s="200" t="n">
        <x:v>46235</x:v>
      </x:c>
      <x:c r="H24" s="212" t="n">
        <x:f>COUNTIFS('FAZA 1 - OSLO MARATHON'!$A$5:$A$99,"&gt;="&amp;$G24,'FAZA 1 - OSLO MARATHON'!$A$5:$A$99,"&lt;"&amp;EDATE($G24,1),'FAZA 1 - OSLO MARATHON'!$L$5:$L$99,"&gt;0")+COUNTIFS('FAZA 2 - IRONMAN 70.3 POZNAŃ'!$A$5:$A$361,"&gt;="&amp;$G24,'FAZA 2 - IRONMAN 70.3 POZNAŃ'!$A$5:$A$361,"&lt;"&amp;EDATE($G24,1),'FAZA 2 - IRONMAN 70.3 POZNAŃ'!$L$5:$L$361,"&gt;0")</x:f>
        <x:v>0</x:v>
      </x:c>
      <x:c r="I24" s="213" t="str">
        <x:f>IFERROR((SUMIFS('FAZA 1 - OSLO MARATHON'!$L$5:$L$99,'FAZA 1 - OSLO MARATHON'!$A$5:$A$99,"&gt;="&amp;$G24,'FAZA 1 - OSLO MARATHON'!$A$5:$A$99,"&lt;"&amp;EDATE($G24,1))+SUMIFS('FAZA 2 - IRONMAN 70.3 POZNAŃ'!$L$5:$L$361,'FAZA 2 - IRONMAN 70.3 POZNAŃ'!$A$5:$A$361,"&gt;="&amp;$G24,'FAZA 2 - IRONMAN 70.3 POZNAŃ'!$A$5:$A$361,"&lt;"&amp;EDATE($G24,1)))/(COUNTIFS('FAZA 1 - OSLO MARATHON'!$A$5:$A$99,"&gt;="&amp;$G24,'FAZA 1 - OSLO MARATHON'!$A$5:$A$99,"&lt;"&amp;EDATE($G24,1),'FAZA 1 - OSLO MARATHON'!$L$5:$L$99,"&gt;0")+COUNTIFS('FAZA 2 - IRONMAN 70.3 POZNAŃ'!$A$5:$A$361,"&gt;="&amp;$G24,'FAZA 2 - IRONMAN 70.3 POZNAŃ'!$A$5:$A$361,"&lt;"&amp;EDATE($G24,1),'FAZA 2 - IRONMAN 70.3 POZNAŃ'!$L$5:$L$361,"&gt;0")),"")</x:f>
      </x:c>
      <x:c r="J24" s="213" t="str">
        <x:f>IFERROR((SUMIFS('FAZA 1 - OSLO MARATHON'!$M$5:$M$99,'FAZA 1 - OSLO MARATHON'!$A$5:$A$99,"&gt;="&amp;$G24,'FAZA 1 - OSLO MARATHON'!$A$5:$A$99,"&lt;"&amp;EDATE($G24,1))+SUMIFS('FAZA 2 - IRONMAN 70.3 POZNAŃ'!$M$5:$M$361,'FAZA 2 - IRONMAN 70.3 POZNAŃ'!$A$5:$A$361,"&gt;="&amp;$G24,'FAZA 2 - IRONMAN 70.3 POZNAŃ'!$A$5:$A$361,"&lt;"&amp;EDATE($G24,1)))/(COUNTIFS('FAZA 1 - OSLO MARATHON'!$A$5:$A$99,"&gt;="&amp;$G24,'FAZA 1 - OSLO MARATHON'!$A$5:$A$99,"&lt;"&amp;EDATE($G24,1),'FAZA 1 - OSLO MARATHON'!$M$5:$M$99,"&gt;=0",'FAZA 1 - OSLO MARATHON'!$M$5:$M$99,"&lt;&gt;")+COUNTIFS('FAZA 2 - IRONMAN 70.3 POZNAŃ'!$A$5:$A$361,"&gt;="&amp;$G24,'FAZA 2 - IRONMAN 70.3 POZNAŃ'!$A$5:$A$361,"&lt;"&amp;EDATE($G24,1),'FAZA 2 - IRONMAN 70.3 POZNAŃ'!$M$5:$M$361,"&gt;=0",'FAZA 2 - IRONMAN 70.3 POZNAŃ'!$M$5:$M$361,"&lt;&gt;")),"")</x:f>
      </x:c>
      <x:c r="K24" s="212" t="n">
        <x:f>COUNTIFS('FAZA 1 - OSLO MARATHON'!$A$5:$A$99,"&gt;="&amp;$G24,'FAZA 1 - OSLO MARATHON'!$A$5:$A$99,"&lt;"&amp;EDATE($G24,1),'FAZA 1 - OSLO MARATHON'!$M$5:$M$99,"&gt;=3")+COUNTIFS('FAZA 2 - IRONMAN 70.3 POZNAŃ'!$A$5:$A$361,"&gt;="&amp;$G24,'FAZA 2 - IRONMAN 70.3 POZNAŃ'!$A$5:$A$361,"&lt;"&amp;EDATE($G24,1),'FAZA 2 - IRONMAN 70.3 POZNAŃ'!$M$5:$M$361,"&gt;=3")</x:f>
        <x:v>0</x:v>
      </x:c>
      <x:c r="L24" s="212" t="n">
        <x:f>COUNTIFS('FAZA 1 - OSLO MARATHON'!$A$5:$A$99,"&gt;="&amp;$G24,'FAZA 1 - OSLO MARATHON'!$A$5:$A$99,"&lt;"&amp;EDATE($G24,1),'FAZA 1 - OSLO MARATHON'!$M$5:$M$99,"&gt;=5")+COUNTIFS('FAZA 2 - IRONMAN 70.3 POZNAŃ'!$A$5:$A$361,"&gt;="&amp;$G24,'FAZA 2 - IRONMAN 70.3 POZNAŃ'!$A$5:$A$361,"&lt;"&amp;EDATE($G24,1),'FAZA 2 - IRONMAN 70.3 POZNAŃ'!$M$5:$M$361,"&gt;=5")</x:f>
        <x:v>0</x:v>
      </x:c>
      <x:c r="M24" s="213" t="str">
        <x:f>IFERROR((SUMIFS('FAZA 1 - OSLO MARATHON'!$N$5:$N$99,'FAZA 1 - OSLO MARATHON'!$A$5:$A$99,"&gt;="&amp;$G24,'FAZA 1 - OSLO MARATHON'!$A$5:$A$99,"&lt;"&amp;EDATE($G24,1))+SUMIFS('FAZA 2 - IRONMAN 70.3 POZNAŃ'!$N$5:$N$361,'FAZA 2 - IRONMAN 70.3 POZNAŃ'!$A$5:$A$361,"&gt;="&amp;$G24,'FAZA 2 - IRONMAN 70.3 POZNAŃ'!$A$5:$A$361,"&lt;"&amp;EDATE($G24,1)))/(COUNTIFS('FAZA 1 - OSLO MARATHON'!$A$5:$A$99,"&gt;="&amp;$G24,'FAZA 1 - OSLO MARATHON'!$A$5:$A$99,"&lt;"&amp;EDATE($G24,1),'FAZA 1 - OSLO MARATHON'!$N$5:$N$99,"&gt;0")+COUNTIFS('FAZA 2 - IRONMAN 70.3 POZNAŃ'!$A$5:$A$361,"&gt;="&amp;$G24,'FAZA 2 - IRONMAN 70.3 POZNAŃ'!$A$5:$A$361,"&lt;"&amp;EDATE($G24,1),'FAZA 2 - IRONMAN 70.3 POZNAŃ'!$N$5:$N$361,"&gt;0")),"")</x:f>
      </x:c>
      <x:c r="N24" s="212" t="n">
        <x:f>COUNTIFS('FAZA 1 - OSLO MARATHON'!$A$5:$A$99,"&gt;="&amp;$G24,'FAZA 1 - OSLO MARATHON'!$A$5:$A$99,"&lt;"&amp;EDATE($G24,1),'FAZA 1 - OSLO MARATHON'!$O$5:$O$99,"&lt;&gt;")+COUNTIFS('FAZA 2 - IRONMAN 70.3 POZNAŃ'!$A$5:$A$361,"&gt;="&amp;$G24,'FAZA 2 - IRONMAN 70.3 POZNAŃ'!$A$5:$A$361,"&lt;"&amp;EDATE($G24,1),'FAZA 2 - IRONMAN 70.3 POZNAŃ'!$O$5:$O$361,"&lt;&gt;")</x:f>
        <x:v>0</x:v>
      </x:c>
      <x:c r="O24" s="204" t="str">
        <x:f>IF(L24&gt;=1,"CZERWONY",IF(K24&gt;=4,"POMARAŃCZOWY",IF(AND(ISNUMBER(I24),I24&gt;=6.5,ISNUMBER(M24),M24&lt;6),"ŻÓŁTY",IF(H24=0,"BRAK DANYCH","ZIELONY"))))</x:f>
        <x:v>BRAK DANYCH</x:v>
      </x:c>
    </x:row>
    <x:row r="25" ht="22" customHeight="1">
      <x:c r="G25" s="200" t="n">
        <x:v>46266</x:v>
      </x:c>
      <x:c r="H25" s="212" t="n">
        <x:f>COUNTIFS('FAZA 1 - OSLO MARATHON'!$A$5:$A$99,"&gt;="&amp;$G25,'FAZA 1 - OSLO MARATHON'!$A$5:$A$99,"&lt;"&amp;EDATE($G25,1),'FAZA 1 - OSLO MARATHON'!$L$5:$L$99,"&gt;0")+COUNTIFS('FAZA 2 - IRONMAN 70.3 POZNAŃ'!$A$5:$A$361,"&gt;="&amp;$G25,'FAZA 2 - IRONMAN 70.3 POZNAŃ'!$A$5:$A$361,"&lt;"&amp;EDATE($G25,1),'FAZA 2 - IRONMAN 70.3 POZNAŃ'!$L$5:$L$361,"&gt;0")</x:f>
        <x:v>0</x:v>
      </x:c>
      <x:c r="I25" s="213" t="str">
        <x:f>IFERROR((SUMIFS('FAZA 1 - OSLO MARATHON'!$L$5:$L$99,'FAZA 1 - OSLO MARATHON'!$A$5:$A$99,"&gt;="&amp;$G25,'FAZA 1 - OSLO MARATHON'!$A$5:$A$99,"&lt;"&amp;EDATE($G25,1))+SUMIFS('FAZA 2 - IRONMAN 70.3 POZNAŃ'!$L$5:$L$361,'FAZA 2 - IRONMAN 70.3 POZNAŃ'!$A$5:$A$361,"&gt;="&amp;$G25,'FAZA 2 - IRONMAN 70.3 POZNAŃ'!$A$5:$A$361,"&lt;"&amp;EDATE($G25,1)))/(COUNTIFS('FAZA 1 - OSLO MARATHON'!$A$5:$A$99,"&gt;="&amp;$G25,'FAZA 1 - OSLO MARATHON'!$A$5:$A$99,"&lt;"&amp;EDATE($G25,1),'FAZA 1 - OSLO MARATHON'!$L$5:$L$99,"&gt;0")+COUNTIFS('FAZA 2 - IRONMAN 70.3 POZNAŃ'!$A$5:$A$361,"&gt;="&amp;$G25,'FAZA 2 - IRONMAN 70.3 POZNAŃ'!$A$5:$A$361,"&lt;"&amp;EDATE($G25,1),'FAZA 2 - IRONMAN 70.3 POZNAŃ'!$L$5:$L$361,"&gt;0")),"")</x:f>
      </x:c>
      <x:c r="J25" s="213" t="str">
        <x:f>IFERROR((SUMIFS('FAZA 1 - OSLO MARATHON'!$M$5:$M$99,'FAZA 1 - OSLO MARATHON'!$A$5:$A$99,"&gt;="&amp;$G25,'FAZA 1 - OSLO MARATHON'!$A$5:$A$99,"&lt;"&amp;EDATE($G25,1))+SUMIFS('FAZA 2 - IRONMAN 70.3 POZNAŃ'!$M$5:$M$361,'FAZA 2 - IRONMAN 70.3 POZNAŃ'!$A$5:$A$361,"&gt;="&amp;$G25,'FAZA 2 - IRONMAN 70.3 POZNAŃ'!$A$5:$A$361,"&lt;"&amp;EDATE($G25,1)))/(COUNTIFS('FAZA 1 - OSLO MARATHON'!$A$5:$A$99,"&gt;="&amp;$G25,'FAZA 1 - OSLO MARATHON'!$A$5:$A$99,"&lt;"&amp;EDATE($G25,1),'FAZA 1 - OSLO MARATHON'!$M$5:$M$99,"&gt;=0",'FAZA 1 - OSLO MARATHON'!$M$5:$M$99,"&lt;&gt;")+COUNTIFS('FAZA 2 - IRONMAN 70.3 POZNAŃ'!$A$5:$A$361,"&gt;="&amp;$G25,'FAZA 2 - IRONMAN 70.3 POZNAŃ'!$A$5:$A$361,"&lt;"&amp;EDATE($G25,1),'FAZA 2 - IRONMAN 70.3 POZNAŃ'!$M$5:$M$361,"&gt;=0",'FAZA 2 - IRONMAN 70.3 POZNAŃ'!$M$5:$M$361,"&lt;&gt;")),"")</x:f>
      </x:c>
      <x:c r="K25" s="212" t="n">
        <x:f>COUNTIFS('FAZA 1 - OSLO MARATHON'!$A$5:$A$99,"&gt;="&amp;$G25,'FAZA 1 - OSLO MARATHON'!$A$5:$A$99,"&lt;"&amp;EDATE($G25,1),'FAZA 1 - OSLO MARATHON'!$M$5:$M$99,"&gt;=3")+COUNTIFS('FAZA 2 - IRONMAN 70.3 POZNAŃ'!$A$5:$A$361,"&gt;="&amp;$G25,'FAZA 2 - IRONMAN 70.3 POZNAŃ'!$A$5:$A$361,"&lt;"&amp;EDATE($G25,1),'FAZA 2 - IRONMAN 70.3 POZNAŃ'!$M$5:$M$361,"&gt;=3")</x:f>
        <x:v>0</x:v>
      </x:c>
      <x:c r="L25" s="212" t="n">
        <x:f>COUNTIFS('FAZA 1 - OSLO MARATHON'!$A$5:$A$99,"&gt;="&amp;$G25,'FAZA 1 - OSLO MARATHON'!$A$5:$A$99,"&lt;"&amp;EDATE($G25,1),'FAZA 1 - OSLO MARATHON'!$M$5:$M$99,"&gt;=5")+COUNTIFS('FAZA 2 - IRONMAN 70.3 POZNAŃ'!$A$5:$A$361,"&gt;="&amp;$G25,'FAZA 2 - IRONMAN 70.3 POZNAŃ'!$A$5:$A$361,"&lt;"&amp;EDATE($G25,1),'FAZA 2 - IRONMAN 70.3 POZNAŃ'!$M$5:$M$361,"&gt;=5")</x:f>
        <x:v>0</x:v>
      </x:c>
      <x:c r="M25" s="213" t="str">
        <x:f>IFERROR((SUMIFS('FAZA 1 - OSLO MARATHON'!$N$5:$N$99,'FAZA 1 - OSLO MARATHON'!$A$5:$A$99,"&gt;="&amp;$G25,'FAZA 1 - OSLO MARATHON'!$A$5:$A$99,"&lt;"&amp;EDATE($G25,1))+SUMIFS('FAZA 2 - IRONMAN 70.3 POZNAŃ'!$N$5:$N$361,'FAZA 2 - IRONMAN 70.3 POZNAŃ'!$A$5:$A$361,"&gt;="&amp;$G25,'FAZA 2 - IRONMAN 70.3 POZNAŃ'!$A$5:$A$361,"&lt;"&amp;EDATE($G25,1)))/(COUNTIFS('FAZA 1 - OSLO MARATHON'!$A$5:$A$99,"&gt;="&amp;$G25,'FAZA 1 - OSLO MARATHON'!$A$5:$A$99,"&lt;"&amp;EDATE($G25,1),'FAZA 1 - OSLO MARATHON'!$N$5:$N$99,"&gt;0")+COUNTIFS('FAZA 2 - IRONMAN 70.3 POZNAŃ'!$A$5:$A$361,"&gt;="&amp;$G25,'FAZA 2 - IRONMAN 70.3 POZNAŃ'!$A$5:$A$361,"&lt;"&amp;EDATE($G25,1),'FAZA 2 - IRONMAN 70.3 POZNAŃ'!$N$5:$N$361,"&gt;0")),"")</x:f>
      </x:c>
      <x:c r="N25" s="212" t="n">
        <x:f>COUNTIFS('FAZA 1 - OSLO MARATHON'!$A$5:$A$99,"&gt;="&amp;$G25,'FAZA 1 - OSLO MARATHON'!$A$5:$A$99,"&lt;"&amp;EDATE($G25,1),'FAZA 1 - OSLO MARATHON'!$O$5:$O$99,"&lt;&gt;")+COUNTIFS('FAZA 2 - IRONMAN 70.3 POZNAŃ'!$A$5:$A$361,"&gt;="&amp;$G25,'FAZA 2 - IRONMAN 70.3 POZNAŃ'!$A$5:$A$361,"&lt;"&amp;EDATE($G25,1),'FAZA 2 - IRONMAN 70.3 POZNAŃ'!$O$5:$O$361,"&lt;&gt;")</x:f>
        <x:v>0</x:v>
      </x:c>
      <x:c r="O25" s="204" t="str">
        <x:f>IF(L25&gt;=1,"CZERWONY",IF(K25&gt;=4,"POMARAŃCZOWY",IF(AND(ISNUMBER(I25),I25&gt;=6.5,ISNUMBER(M25),M25&lt;6),"ŻÓŁTY",IF(H25=0,"BRAK DANYCH","ZIELONY"))))</x:f>
        <x:v>BRAK DANYCH</x:v>
      </x:c>
    </x:row>
    <x:row r="26" ht="22" customHeight="1">
      <x:c r="G26" s="200" t="n">
        <x:v>46296</x:v>
      </x:c>
      <x:c r="H26" s="212" t="n">
        <x:f>COUNTIFS('FAZA 1 - OSLO MARATHON'!$A$5:$A$99,"&gt;="&amp;$G26,'FAZA 1 - OSLO MARATHON'!$A$5:$A$99,"&lt;"&amp;EDATE($G26,1),'FAZA 1 - OSLO MARATHON'!$L$5:$L$99,"&gt;0")+COUNTIFS('FAZA 2 - IRONMAN 70.3 POZNAŃ'!$A$5:$A$361,"&gt;="&amp;$G26,'FAZA 2 - IRONMAN 70.3 POZNAŃ'!$A$5:$A$361,"&lt;"&amp;EDATE($G26,1),'FAZA 2 - IRONMAN 70.3 POZNAŃ'!$L$5:$L$361,"&gt;0")</x:f>
        <x:v>0</x:v>
      </x:c>
      <x:c r="I26" s="213" t="str">
        <x:f>IFERROR((SUMIFS('FAZA 1 - OSLO MARATHON'!$L$5:$L$99,'FAZA 1 - OSLO MARATHON'!$A$5:$A$99,"&gt;="&amp;$G26,'FAZA 1 - OSLO MARATHON'!$A$5:$A$99,"&lt;"&amp;EDATE($G26,1))+SUMIFS('FAZA 2 - IRONMAN 70.3 POZNAŃ'!$L$5:$L$361,'FAZA 2 - IRONMAN 70.3 POZNAŃ'!$A$5:$A$361,"&gt;="&amp;$G26,'FAZA 2 - IRONMAN 70.3 POZNAŃ'!$A$5:$A$361,"&lt;"&amp;EDATE($G26,1)))/(COUNTIFS('FAZA 1 - OSLO MARATHON'!$A$5:$A$99,"&gt;="&amp;$G26,'FAZA 1 - OSLO MARATHON'!$A$5:$A$99,"&lt;"&amp;EDATE($G26,1),'FAZA 1 - OSLO MARATHON'!$L$5:$L$99,"&gt;0")+COUNTIFS('FAZA 2 - IRONMAN 70.3 POZNAŃ'!$A$5:$A$361,"&gt;="&amp;$G26,'FAZA 2 - IRONMAN 70.3 POZNAŃ'!$A$5:$A$361,"&lt;"&amp;EDATE($G26,1),'FAZA 2 - IRONMAN 70.3 POZNAŃ'!$L$5:$L$361,"&gt;0")),"")</x:f>
      </x:c>
      <x:c r="J26" s="213" t="str">
        <x:f>IFERROR((SUMIFS('FAZA 1 - OSLO MARATHON'!$M$5:$M$99,'FAZA 1 - OSLO MARATHON'!$A$5:$A$99,"&gt;="&amp;$G26,'FAZA 1 - OSLO MARATHON'!$A$5:$A$99,"&lt;"&amp;EDATE($G26,1))+SUMIFS('FAZA 2 - IRONMAN 70.3 POZNAŃ'!$M$5:$M$361,'FAZA 2 - IRONMAN 70.3 POZNAŃ'!$A$5:$A$361,"&gt;="&amp;$G26,'FAZA 2 - IRONMAN 70.3 POZNAŃ'!$A$5:$A$361,"&lt;"&amp;EDATE($G26,1)))/(COUNTIFS('FAZA 1 - OSLO MARATHON'!$A$5:$A$99,"&gt;="&amp;$G26,'FAZA 1 - OSLO MARATHON'!$A$5:$A$99,"&lt;"&amp;EDATE($G26,1),'FAZA 1 - OSLO MARATHON'!$M$5:$M$99,"&gt;=0",'FAZA 1 - OSLO MARATHON'!$M$5:$M$99,"&lt;&gt;")+COUNTIFS('FAZA 2 - IRONMAN 70.3 POZNAŃ'!$A$5:$A$361,"&gt;="&amp;$G26,'FAZA 2 - IRONMAN 70.3 POZNAŃ'!$A$5:$A$361,"&lt;"&amp;EDATE($G26,1),'FAZA 2 - IRONMAN 70.3 POZNAŃ'!$M$5:$M$361,"&gt;=0",'FAZA 2 - IRONMAN 70.3 POZNAŃ'!$M$5:$M$361,"&lt;&gt;")),"")</x:f>
      </x:c>
      <x:c r="K26" s="212" t="n">
        <x:f>COUNTIFS('FAZA 1 - OSLO MARATHON'!$A$5:$A$99,"&gt;="&amp;$G26,'FAZA 1 - OSLO MARATHON'!$A$5:$A$99,"&lt;"&amp;EDATE($G26,1),'FAZA 1 - OSLO MARATHON'!$M$5:$M$99,"&gt;=3")+COUNTIFS('FAZA 2 - IRONMAN 70.3 POZNAŃ'!$A$5:$A$361,"&gt;="&amp;$G26,'FAZA 2 - IRONMAN 70.3 POZNAŃ'!$A$5:$A$361,"&lt;"&amp;EDATE($G26,1),'FAZA 2 - IRONMAN 70.3 POZNAŃ'!$M$5:$M$361,"&gt;=3")</x:f>
        <x:v>0</x:v>
      </x:c>
      <x:c r="L26" s="212" t="n">
        <x:f>COUNTIFS('FAZA 1 - OSLO MARATHON'!$A$5:$A$99,"&gt;="&amp;$G26,'FAZA 1 - OSLO MARATHON'!$A$5:$A$99,"&lt;"&amp;EDATE($G26,1),'FAZA 1 - OSLO MARATHON'!$M$5:$M$99,"&gt;=5")+COUNTIFS('FAZA 2 - IRONMAN 70.3 POZNAŃ'!$A$5:$A$361,"&gt;="&amp;$G26,'FAZA 2 - IRONMAN 70.3 POZNAŃ'!$A$5:$A$361,"&lt;"&amp;EDATE($G26,1),'FAZA 2 - IRONMAN 70.3 POZNAŃ'!$M$5:$M$361,"&gt;=5")</x:f>
        <x:v>0</x:v>
      </x:c>
      <x:c r="M26" s="213" t="str">
        <x:f>IFERROR((SUMIFS('FAZA 1 - OSLO MARATHON'!$N$5:$N$99,'FAZA 1 - OSLO MARATHON'!$A$5:$A$99,"&gt;="&amp;$G26,'FAZA 1 - OSLO MARATHON'!$A$5:$A$99,"&lt;"&amp;EDATE($G26,1))+SUMIFS('FAZA 2 - IRONMAN 70.3 POZNAŃ'!$N$5:$N$361,'FAZA 2 - IRONMAN 70.3 POZNAŃ'!$A$5:$A$361,"&gt;="&amp;$G26,'FAZA 2 - IRONMAN 70.3 POZNAŃ'!$A$5:$A$361,"&lt;"&amp;EDATE($G26,1)))/(COUNTIFS('FAZA 1 - OSLO MARATHON'!$A$5:$A$99,"&gt;="&amp;$G26,'FAZA 1 - OSLO MARATHON'!$A$5:$A$99,"&lt;"&amp;EDATE($G26,1),'FAZA 1 - OSLO MARATHON'!$N$5:$N$99,"&gt;0")+COUNTIFS('FAZA 2 - IRONMAN 70.3 POZNAŃ'!$A$5:$A$361,"&gt;="&amp;$G26,'FAZA 2 - IRONMAN 70.3 POZNAŃ'!$A$5:$A$361,"&lt;"&amp;EDATE($G26,1),'FAZA 2 - IRONMAN 70.3 POZNAŃ'!$N$5:$N$361,"&gt;0")),"")</x:f>
      </x:c>
      <x:c r="N26" s="212" t="n">
        <x:f>COUNTIFS('FAZA 1 - OSLO MARATHON'!$A$5:$A$99,"&gt;="&amp;$G26,'FAZA 1 - OSLO MARATHON'!$A$5:$A$99,"&lt;"&amp;EDATE($G26,1),'FAZA 1 - OSLO MARATHON'!$O$5:$O$99,"&lt;&gt;")+COUNTIFS('FAZA 2 - IRONMAN 70.3 POZNAŃ'!$A$5:$A$361,"&gt;="&amp;$G26,'FAZA 2 - IRONMAN 70.3 POZNAŃ'!$A$5:$A$361,"&lt;"&amp;EDATE($G26,1),'FAZA 2 - IRONMAN 70.3 POZNAŃ'!$O$5:$O$361,"&lt;&gt;")</x:f>
        <x:v>0</x:v>
      </x:c>
      <x:c r="O26" s="204" t="str">
        <x:f>IF(L26&gt;=1,"CZERWONY",IF(K26&gt;=4,"POMARAŃCZOWY",IF(AND(ISNUMBER(I26),I26&gt;=6.5,ISNUMBER(M26),M26&lt;6),"ŻÓŁTY",IF(H26=0,"BRAK DANYCH","ZIELONY"))))</x:f>
        <x:v>BRAK DANYCH</x:v>
      </x:c>
    </x:row>
    <x:row r="27" ht="22" customHeight="1">
      <x:c r="G27" s="200" t="n">
        <x:v>46327</x:v>
      </x:c>
      <x:c r="H27" s="212" t="n">
        <x:f>COUNTIFS('FAZA 1 - OSLO MARATHON'!$A$5:$A$99,"&gt;="&amp;$G27,'FAZA 1 - OSLO MARATHON'!$A$5:$A$99,"&lt;"&amp;EDATE($G27,1),'FAZA 1 - OSLO MARATHON'!$L$5:$L$99,"&gt;0")+COUNTIFS('FAZA 2 - IRONMAN 70.3 POZNAŃ'!$A$5:$A$361,"&gt;="&amp;$G27,'FAZA 2 - IRONMAN 70.3 POZNAŃ'!$A$5:$A$361,"&lt;"&amp;EDATE($G27,1),'FAZA 2 - IRONMAN 70.3 POZNAŃ'!$L$5:$L$361,"&gt;0")</x:f>
        <x:v>0</x:v>
      </x:c>
      <x:c r="I27" s="213" t="str">
        <x:f>IFERROR((SUMIFS('FAZA 1 - OSLO MARATHON'!$L$5:$L$99,'FAZA 1 - OSLO MARATHON'!$A$5:$A$99,"&gt;="&amp;$G27,'FAZA 1 - OSLO MARATHON'!$A$5:$A$99,"&lt;"&amp;EDATE($G27,1))+SUMIFS('FAZA 2 - IRONMAN 70.3 POZNAŃ'!$L$5:$L$361,'FAZA 2 - IRONMAN 70.3 POZNAŃ'!$A$5:$A$361,"&gt;="&amp;$G27,'FAZA 2 - IRONMAN 70.3 POZNAŃ'!$A$5:$A$361,"&lt;"&amp;EDATE($G27,1)))/(COUNTIFS('FAZA 1 - OSLO MARATHON'!$A$5:$A$99,"&gt;="&amp;$G27,'FAZA 1 - OSLO MARATHON'!$A$5:$A$99,"&lt;"&amp;EDATE($G27,1),'FAZA 1 - OSLO MARATHON'!$L$5:$L$99,"&gt;0")+COUNTIFS('FAZA 2 - IRONMAN 70.3 POZNAŃ'!$A$5:$A$361,"&gt;="&amp;$G27,'FAZA 2 - IRONMAN 70.3 POZNAŃ'!$A$5:$A$361,"&lt;"&amp;EDATE($G27,1),'FAZA 2 - IRONMAN 70.3 POZNAŃ'!$L$5:$L$361,"&gt;0")),"")</x:f>
      </x:c>
      <x:c r="J27" s="213" t="str">
        <x:f>IFERROR((SUMIFS('FAZA 1 - OSLO MARATHON'!$M$5:$M$99,'FAZA 1 - OSLO MARATHON'!$A$5:$A$99,"&gt;="&amp;$G27,'FAZA 1 - OSLO MARATHON'!$A$5:$A$99,"&lt;"&amp;EDATE($G27,1))+SUMIFS('FAZA 2 - IRONMAN 70.3 POZNAŃ'!$M$5:$M$361,'FAZA 2 - IRONMAN 70.3 POZNAŃ'!$A$5:$A$361,"&gt;="&amp;$G27,'FAZA 2 - IRONMAN 70.3 POZNAŃ'!$A$5:$A$361,"&lt;"&amp;EDATE($G27,1)))/(COUNTIFS('FAZA 1 - OSLO MARATHON'!$A$5:$A$99,"&gt;="&amp;$G27,'FAZA 1 - OSLO MARATHON'!$A$5:$A$99,"&lt;"&amp;EDATE($G27,1),'FAZA 1 - OSLO MARATHON'!$M$5:$M$99,"&gt;=0",'FAZA 1 - OSLO MARATHON'!$M$5:$M$99,"&lt;&gt;")+COUNTIFS('FAZA 2 - IRONMAN 70.3 POZNAŃ'!$A$5:$A$361,"&gt;="&amp;$G27,'FAZA 2 - IRONMAN 70.3 POZNAŃ'!$A$5:$A$361,"&lt;"&amp;EDATE($G27,1),'FAZA 2 - IRONMAN 70.3 POZNAŃ'!$M$5:$M$361,"&gt;=0",'FAZA 2 - IRONMAN 70.3 POZNAŃ'!$M$5:$M$361,"&lt;&gt;")),"")</x:f>
      </x:c>
      <x:c r="K27" s="212" t="n">
        <x:f>COUNTIFS('FAZA 1 - OSLO MARATHON'!$A$5:$A$99,"&gt;="&amp;$G27,'FAZA 1 - OSLO MARATHON'!$A$5:$A$99,"&lt;"&amp;EDATE($G27,1),'FAZA 1 - OSLO MARATHON'!$M$5:$M$99,"&gt;=3")+COUNTIFS('FAZA 2 - IRONMAN 70.3 POZNAŃ'!$A$5:$A$361,"&gt;="&amp;$G27,'FAZA 2 - IRONMAN 70.3 POZNAŃ'!$A$5:$A$361,"&lt;"&amp;EDATE($G27,1),'FAZA 2 - IRONMAN 70.3 POZNAŃ'!$M$5:$M$361,"&gt;=3")</x:f>
        <x:v>0</x:v>
      </x:c>
      <x:c r="L27" s="212" t="n">
        <x:f>COUNTIFS('FAZA 1 - OSLO MARATHON'!$A$5:$A$99,"&gt;="&amp;$G27,'FAZA 1 - OSLO MARATHON'!$A$5:$A$99,"&lt;"&amp;EDATE($G27,1),'FAZA 1 - OSLO MARATHON'!$M$5:$M$99,"&gt;=5")+COUNTIFS('FAZA 2 - IRONMAN 70.3 POZNAŃ'!$A$5:$A$361,"&gt;="&amp;$G27,'FAZA 2 - IRONMAN 70.3 POZNAŃ'!$A$5:$A$361,"&lt;"&amp;EDATE($G27,1),'FAZA 2 - IRONMAN 70.3 POZNAŃ'!$M$5:$M$361,"&gt;=5")</x:f>
        <x:v>0</x:v>
      </x:c>
      <x:c r="M27" s="213" t="str">
        <x:f>IFERROR((SUMIFS('FAZA 1 - OSLO MARATHON'!$N$5:$N$99,'FAZA 1 - OSLO MARATHON'!$A$5:$A$99,"&gt;="&amp;$G27,'FAZA 1 - OSLO MARATHON'!$A$5:$A$99,"&lt;"&amp;EDATE($G27,1))+SUMIFS('FAZA 2 - IRONMAN 70.3 POZNAŃ'!$N$5:$N$361,'FAZA 2 - IRONMAN 70.3 POZNAŃ'!$A$5:$A$361,"&gt;="&amp;$G27,'FAZA 2 - IRONMAN 70.3 POZNAŃ'!$A$5:$A$361,"&lt;"&amp;EDATE($G27,1)))/(COUNTIFS('FAZA 1 - OSLO MARATHON'!$A$5:$A$99,"&gt;="&amp;$G27,'FAZA 1 - OSLO MARATHON'!$A$5:$A$99,"&lt;"&amp;EDATE($G27,1),'FAZA 1 - OSLO MARATHON'!$N$5:$N$99,"&gt;0")+COUNTIFS('FAZA 2 - IRONMAN 70.3 POZNAŃ'!$A$5:$A$361,"&gt;="&amp;$G27,'FAZA 2 - IRONMAN 70.3 POZNAŃ'!$A$5:$A$361,"&lt;"&amp;EDATE($G27,1),'FAZA 2 - IRONMAN 70.3 POZNAŃ'!$N$5:$N$361,"&gt;0")),"")</x:f>
      </x:c>
      <x:c r="N27" s="212" t="n">
        <x:f>COUNTIFS('FAZA 1 - OSLO MARATHON'!$A$5:$A$99,"&gt;="&amp;$G27,'FAZA 1 - OSLO MARATHON'!$A$5:$A$99,"&lt;"&amp;EDATE($G27,1),'FAZA 1 - OSLO MARATHON'!$O$5:$O$99,"&lt;&gt;")+COUNTIFS('FAZA 2 - IRONMAN 70.3 POZNAŃ'!$A$5:$A$361,"&gt;="&amp;$G27,'FAZA 2 - IRONMAN 70.3 POZNAŃ'!$A$5:$A$361,"&lt;"&amp;EDATE($G27,1),'FAZA 2 - IRONMAN 70.3 POZNAŃ'!$O$5:$O$361,"&lt;&gt;")</x:f>
        <x:v>0</x:v>
      </x:c>
      <x:c r="O27" s="204" t="str">
        <x:f>IF(L27&gt;=1,"CZERWONY",IF(K27&gt;=4,"POMARAŃCZOWY",IF(AND(ISNUMBER(I27),I27&gt;=6.5,ISNUMBER(M27),M27&lt;6),"ŻÓŁTY",IF(H27=0,"BRAK DANYCH","ZIELONY"))))</x:f>
        <x:v>BRAK DANYCH</x:v>
      </x:c>
    </x:row>
    <x:row r="28" ht="22" customHeight="1">
      <x:c r="G28" s="200" t="n">
        <x:v>46357</x:v>
      </x:c>
      <x:c r="H28" s="212" t="n">
        <x:f>COUNTIFS('FAZA 1 - OSLO MARATHON'!$A$5:$A$99,"&gt;="&amp;$G28,'FAZA 1 - OSLO MARATHON'!$A$5:$A$99,"&lt;"&amp;EDATE($G28,1),'FAZA 1 - OSLO MARATHON'!$L$5:$L$99,"&gt;0")+COUNTIFS('FAZA 2 - IRONMAN 70.3 POZNAŃ'!$A$5:$A$361,"&gt;="&amp;$G28,'FAZA 2 - IRONMAN 70.3 POZNAŃ'!$A$5:$A$361,"&lt;"&amp;EDATE($G28,1),'FAZA 2 - IRONMAN 70.3 POZNAŃ'!$L$5:$L$361,"&gt;0")</x:f>
        <x:v>0</x:v>
      </x:c>
      <x:c r="I28" s="213" t="str">
        <x:f>IFERROR((SUMIFS('FAZA 1 - OSLO MARATHON'!$L$5:$L$99,'FAZA 1 - OSLO MARATHON'!$A$5:$A$99,"&gt;="&amp;$G28,'FAZA 1 - OSLO MARATHON'!$A$5:$A$99,"&lt;"&amp;EDATE($G28,1))+SUMIFS('FAZA 2 - IRONMAN 70.3 POZNAŃ'!$L$5:$L$361,'FAZA 2 - IRONMAN 70.3 POZNAŃ'!$A$5:$A$361,"&gt;="&amp;$G28,'FAZA 2 - IRONMAN 70.3 POZNAŃ'!$A$5:$A$361,"&lt;"&amp;EDATE($G28,1)))/(COUNTIFS('FAZA 1 - OSLO MARATHON'!$A$5:$A$99,"&gt;="&amp;$G28,'FAZA 1 - OSLO MARATHON'!$A$5:$A$99,"&lt;"&amp;EDATE($G28,1),'FAZA 1 - OSLO MARATHON'!$L$5:$L$99,"&gt;0")+COUNTIFS('FAZA 2 - IRONMAN 70.3 POZNAŃ'!$A$5:$A$361,"&gt;="&amp;$G28,'FAZA 2 - IRONMAN 70.3 POZNAŃ'!$A$5:$A$361,"&lt;"&amp;EDATE($G28,1),'FAZA 2 - IRONMAN 70.3 POZNAŃ'!$L$5:$L$361,"&gt;0")),"")</x:f>
      </x:c>
      <x:c r="J28" s="213" t="str">
        <x:f>IFERROR((SUMIFS('FAZA 1 - OSLO MARATHON'!$M$5:$M$99,'FAZA 1 - OSLO MARATHON'!$A$5:$A$99,"&gt;="&amp;$G28,'FAZA 1 - OSLO MARATHON'!$A$5:$A$99,"&lt;"&amp;EDATE($G28,1))+SUMIFS('FAZA 2 - IRONMAN 70.3 POZNAŃ'!$M$5:$M$361,'FAZA 2 - IRONMAN 70.3 POZNAŃ'!$A$5:$A$361,"&gt;="&amp;$G28,'FAZA 2 - IRONMAN 70.3 POZNAŃ'!$A$5:$A$361,"&lt;"&amp;EDATE($G28,1)))/(COUNTIFS('FAZA 1 - OSLO MARATHON'!$A$5:$A$99,"&gt;="&amp;$G28,'FAZA 1 - OSLO MARATHON'!$A$5:$A$99,"&lt;"&amp;EDATE($G28,1),'FAZA 1 - OSLO MARATHON'!$M$5:$M$99,"&gt;=0",'FAZA 1 - OSLO MARATHON'!$M$5:$M$99,"&lt;&gt;")+COUNTIFS('FAZA 2 - IRONMAN 70.3 POZNAŃ'!$A$5:$A$361,"&gt;="&amp;$G28,'FAZA 2 - IRONMAN 70.3 POZNAŃ'!$A$5:$A$361,"&lt;"&amp;EDATE($G28,1),'FAZA 2 - IRONMAN 70.3 POZNAŃ'!$M$5:$M$361,"&gt;=0",'FAZA 2 - IRONMAN 70.3 POZNAŃ'!$M$5:$M$361,"&lt;&gt;")),"")</x:f>
      </x:c>
      <x:c r="K28" s="212" t="n">
        <x:f>COUNTIFS('FAZA 1 - OSLO MARATHON'!$A$5:$A$99,"&gt;="&amp;$G28,'FAZA 1 - OSLO MARATHON'!$A$5:$A$99,"&lt;"&amp;EDATE($G28,1),'FAZA 1 - OSLO MARATHON'!$M$5:$M$99,"&gt;=3")+COUNTIFS('FAZA 2 - IRONMAN 70.3 POZNAŃ'!$A$5:$A$361,"&gt;="&amp;$G28,'FAZA 2 - IRONMAN 70.3 POZNAŃ'!$A$5:$A$361,"&lt;"&amp;EDATE($G28,1),'FAZA 2 - IRONMAN 70.3 POZNAŃ'!$M$5:$M$361,"&gt;=3")</x:f>
        <x:v>0</x:v>
      </x:c>
      <x:c r="L28" s="212" t="n">
        <x:f>COUNTIFS('FAZA 1 - OSLO MARATHON'!$A$5:$A$99,"&gt;="&amp;$G28,'FAZA 1 - OSLO MARATHON'!$A$5:$A$99,"&lt;"&amp;EDATE($G28,1),'FAZA 1 - OSLO MARATHON'!$M$5:$M$99,"&gt;=5")+COUNTIFS('FAZA 2 - IRONMAN 70.3 POZNAŃ'!$A$5:$A$361,"&gt;="&amp;$G28,'FAZA 2 - IRONMAN 70.3 POZNAŃ'!$A$5:$A$361,"&lt;"&amp;EDATE($G28,1),'FAZA 2 - IRONMAN 70.3 POZNAŃ'!$M$5:$M$361,"&gt;=5")</x:f>
        <x:v>0</x:v>
      </x:c>
      <x:c r="M28" s="213" t="str">
        <x:f>IFERROR((SUMIFS('FAZA 1 - OSLO MARATHON'!$N$5:$N$99,'FAZA 1 - OSLO MARATHON'!$A$5:$A$99,"&gt;="&amp;$G28,'FAZA 1 - OSLO MARATHON'!$A$5:$A$99,"&lt;"&amp;EDATE($G28,1))+SUMIFS('FAZA 2 - IRONMAN 70.3 POZNAŃ'!$N$5:$N$361,'FAZA 2 - IRONMAN 70.3 POZNAŃ'!$A$5:$A$361,"&gt;="&amp;$G28,'FAZA 2 - IRONMAN 70.3 POZNAŃ'!$A$5:$A$361,"&lt;"&amp;EDATE($G28,1)))/(COUNTIFS('FAZA 1 - OSLO MARATHON'!$A$5:$A$99,"&gt;="&amp;$G28,'FAZA 1 - OSLO MARATHON'!$A$5:$A$99,"&lt;"&amp;EDATE($G28,1),'FAZA 1 - OSLO MARATHON'!$N$5:$N$99,"&gt;0")+COUNTIFS('FAZA 2 - IRONMAN 70.3 POZNAŃ'!$A$5:$A$361,"&gt;="&amp;$G28,'FAZA 2 - IRONMAN 70.3 POZNAŃ'!$A$5:$A$361,"&lt;"&amp;EDATE($G28,1),'FAZA 2 - IRONMAN 70.3 POZNAŃ'!$N$5:$N$361,"&gt;0")),"")</x:f>
      </x:c>
      <x:c r="N28" s="212" t="n">
        <x:f>COUNTIFS('FAZA 1 - OSLO MARATHON'!$A$5:$A$99,"&gt;="&amp;$G28,'FAZA 1 - OSLO MARATHON'!$A$5:$A$99,"&lt;"&amp;EDATE($G28,1),'FAZA 1 - OSLO MARATHON'!$O$5:$O$99,"&lt;&gt;")+COUNTIFS('FAZA 2 - IRONMAN 70.3 POZNAŃ'!$A$5:$A$361,"&gt;="&amp;$G28,'FAZA 2 - IRONMAN 70.3 POZNAŃ'!$A$5:$A$361,"&lt;"&amp;EDATE($G28,1),'FAZA 2 - IRONMAN 70.3 POZNAŃ'!$O$5:$O$361,"&lt;&gt;")</x:f>
        <x:v>0</x:v>
      </x:c>
      <x:c r="O28" s="204" t="str">
        <x:f>IF(L28&gt;=1,"CZERWONY",IF(K28&gt;=4,"POMARAŃCZOWY",IF(AND(ISNUMBER(I28),I28&gt;=6.5,ISNUMBER(M28),M28&lt;6),"ŻÓŁTY",IF(H28=0,"BRAK DANYCH","ZIELONY"))))</x:f>
        <x:v>BRAK DANYCH</x:v>
      </x:c>
    </x:row>
    <x:row r="29" ht="22" customHeight="1">
      <x:c r="G29" s="200" t="n">
        <x:v>46388</x:v>
      </x:c>
      <x:c r="H29" s="212" t="n">
        <x:f>COUNTIFS('FAZA 1 - OSLO MARATHON'!$A$5:$A$99,"&gt;="&amp;$G29,'FAZA 1 - OSLO MARATHON'!$A$5:$A$99,"&lt;"&amp;EDATE($G29,1),'FAZA 1 - OSLO MARATHON'!$L$5:$L$99,"&gt;0")+COUNTIFS('FAZA 2 - IRONMAN 70.3 POZNAŃ'!$A$5:$A$361,"&gt;="&amp;$G29,'FAZA 2 - IRONMAN 70.3 POZNAŃ'!$A$5:$A$361,"&lt;"&amp;EDATE($G29,1),'FAZA 2 - IRONMAN 70.3 POZNAŃ'!$L$5:$L$361,"&gt;0")</x:f>
        <x:v>0</x:v>
      </x:c>
      <x:c r="I29" s="213" t="str">
        <x:f>IFERROR((SUMIFS('FAZA 1 - OSLO MARATHON'!$L$5:$L$99,'FAZA 1 - OSLO MARATHON'!$A$5:$A$99,"&gt;="&amp;$G29,'FAZA 1 - OSLO MARATHON'!$A$5:$A$99,"&lt;"&amp;EDATE($G29,1))+SUMIFS('FAZA 2 - IRONMAN 70.3 POZNAŃ'!$L$5:$L$361,'FAZA 2 - IRONMAN 70.3 POZNAŃ'!$A$5:$A$361,"&gt;="&amp;$G29,'FAZA 2 - IRONMAN 70.3 POZNAŃ'!$A$5:$A$361,"&lt;"&amp;EDATE($G29,1)))/(COUNTIFS('FAZA 1 - OSLO MARATHON'!$A$5:$A$99,"&gt;="&amp;$G29,'FAZA 1 - OSLO MARATHON'!$A$5:$A$99,"&lt;"&amp;EDATE($G29,1),'FAZA 1 - OSLO MARATHON'!$L$5:$L$99,"&gt;0")+COUNTIFS('FAZA 2 - IRONMAN 70.3 POZNAŃ'!$A$5:$A$361,"&gt;="&amp;$G29,'FAZA 2 - IRONMAN 70.3 POZNAŃ'!$A$5:$A$361,"&lt;"&amp;EDATE($G29,1),'FAZA 2 - IRONMAN 70.3 POZNAŃ'!$L$5:$L$361,"&gt;0")),"")</x:f>
      </x:c>
      <x:c r="J29" s="213" t="str">
        <x:f>IFERROR((SUMIFS('FAZA 1 - OSLO MARATHON'!$M$5:$M$99,'FAZA 1 - OSLO MARATHON'!$A$5:$A$99,"&gt;="&amp;$G29,'FAZA 1 - OSLO MARATHON'!$A$5:$A$99,"&lt;"&amp;EDATE($G29,1))+SUMIFS('FAZA 2 - IRONMAN 70.3 POZNAŃ'!$M$5:$M$361,'FAZA 2 - IRONMAN 70.3 POZNAŃ'!$A$5:$A$361,"&gt;="&amp;$G29,'FAZA 2 - IRONMAN 70.3 POZNAŃ'!$A$5:$A$361,"&lt;"&amp;EDATE($G29,1)))/(COUNTIFS('FAZA 1 - OSLO MARATHON'!$A$5:$A$99,"&gt;="&amp;$G29,'FAZA 1 - OSLO MARATHON'!$A$5:$A$99,"&lt;"&amp;EDATE($G29,1),'FAZA 1 - OSLO MARATHON'!$M$5:$M$99,"&gt;=0",'FAZA 1 - OSLO MARATHON'!$M$5:$M$99,"&lt;&gt;")+COUNTIFS('FAZA 2 - IRONMAN 70.3 POZNAŃ'!$A$5:$A$361,"&gt;="&amp;$G29,'FAZA 2 - IRONMAN 70.3 POZNAŃ'!$A$5:$A$361,"&lt;"&amp;EDATE($G29,1),'FAZA 2 - IRONMAN 70.3 POZNAŃ'!$M$5:$M$361,"&gt;=0",'FAZA 2 - IRONMAN 70.3 POZNAŃ'!$M$5:$M$361,"&lt;&gt;")),"")</x:f>
      </x:c>
      <x:c r="K29" s="212" t="n">
        <x:f>COUNTIFS('FAZA 1 - OSLO MARATHON'!$A$5:$A$99,"&gt;="&amp;$G29,'FAZA 1 - OSLO MARATHON'!$A$5:$A$99,"&lt;"&amp;EDATE($G29,1),'FAZA 1 - OSLO MARATHON'!$M$5:$M$99,"&gt;=3")+COUNTIFS('FAZA 2 - IRONMAN 70.3 POZNAŃ'!$A$5:$A$361,"&gt;="&amp;$G29,'FAZA 2 - IRONMAN 70.3 POZNAŃ'!$A$5:$A$361,"&lt;"&amp;EDATE($G29,1),'FAZA 2 - IRONMAN 70.3 POZNAŃ'!$M$5:$M$361,"&gt;=3")</x:f>
        <x:v>0</x:v>
      </x:c>
      <x:c r="L29" s="212" t="n">
        <x:f>COUNTIFS('FAZA 1 - OSLO MARATHON'!$A$5:$A$99,"&gt;="&amp;$G29,'FAZA 1 - OSLO MARATHON'!$A$5:$A$99,"&lt;"&amp;EDATE($G29,1),'FAZA 1 - OSLO MARATHON'!$M$5:$M$99,"&gt;=5")+COUNTIFS('FAZA 2 - IRONMAN 70.3 POZNAŃ'!$A$5:$A$361,"&gt;="&amp;$G29,'FAZA 2 - IRONMAN 70.3 POZNAŃ'!$A$5:$A$361,"&lt;"&amp;EDATE($G29,1),'FAZA 2 - IRONMAN 70.3 POZNAŃ'!$M$5:$M$361,"&gt;=5")</x:f>
        <x:v>0</x:v>
      </x:c>
      <x:c r="M29" s="213" t="str">
        <x:f>IFERROR((SUMIFS('FAZA 1 - OSLO MARATHON'!$N$5:$N$99,'FAZA 1 - OSLO MARATHON'!$A$5:$A$99,"&gt;="&amp;$G29,'FAZA 1 - OSLO MARATHON'!$A$5:$A$99,"&lt;"&amp;EDATE($G29,1))+SUMIFS('FAZA 2 - IRONMAN 70.3 POZNAŃ'!$N$5:$N$361,'FAZA 2 - IRONMAN 70.3 POZNAŃ'!$A$5:$A$361,"&gt;="&amp;$G29,'FAZA 2 - IRONMAN 70.3 POZNAŃ'!$A$5:$A$361,"&lt;"&amp;EDATE($G29,1)))/(COUNTIFS('FAZA 1 - OSLO MARATHON'!$A$5:$A$99,"&gt;="&amp;$G29,'FAZA 1 - OSLO MARATHON'!$A$5:$A$99,"&lt;"&amp;EDATE($G29,1),'FAZA 1 - OSLO MARATHON'!$N$5:$N$99,"&gt;0")+COUNTIFS('FAZA 2 - IRONMAN 70.3 POZNAŃ'!$A$5:$A$361,"&gt;="&amp;$G29,'FAZA 2 - IRONMAN 70.3 POZNAŃ'!$A$5:$A$361,"&lt;"&amp;EDATE($G29,1),'FAZA 2 - IRONMAN 70.3 POZNAŃ'!$N$5:$N$361,"&gt;0")),"")</x:f>
      </x:c>
      <x:c r="N29" s="212" t="n">
        <x:f>COUNTIFS('FAZA 1 - OSLO MARATHON'!$A$5:$A$99,"&gt;="&amp;$G29,'FAZA 1 - OSLO MARATHON'!$A$5:$A$99,"&lt;"&amp;EDATE($G29,1),'FAZA 1 - OSLO MARATHON'!$O$5:$O$99,"&lt;&gt;")+COUNTIFS('FAZA 2 - IRONMAN 70.3 POZNAŃ'!$A$5:$A$361,"&gt;="&amp;$G29,'FAZA 2 - IRONMAN 70.3 POZNAŃ'!$A$5:$A$361,"&lt;"&amp;EDATE($G29,1),'FAZA 2 - IRONMAN 70.3 POZNAŃ'!$O$5:$O$361,"&lt;&gt;")</x:f>
        <x:v>0</x:v>
      </x:c>
      <x:c r="O29" s="204" t="str">
        <x:f>IF(L29&gt;=1,"CZERWONY",IF(K29&gt;=4,"POMARAŃCZOWY",IF(AND(ISNUMBER(I29),I29&gt;=6.5,ISNUMBER(M29),M29&lt;6),"ŻÓŁTY",IF(H29=0,"BRAK DANYCH","ZIELONY"))))</x:f>
        <x:v>BRAK DANYCH</x:v>
      </x:c>
    </x:row>
    <x:row r="30" ht="22" customHeight="1">
      <x:c r="G30" s="200" t="n">
        <x:v>46419</x:v>
      </x:c>
      <x:c r="H30" s="212" t="n">
        <x:f>COUNTIFS('FAZA 1 - OSLO MARATHON'!$A$5:$A$99,"&gt;="&amp;$G30,'FAZA 1 - OSLO MARATHON'!$A$5:$A$99,"&lt;"&amp;EDATE($G30,1),'FAZA 1 - OSLO MARATHON'!$L$5:$L$99,"&gt;0")+COUNTIFS('FAZA 2 - IRONMAN 70.3 POZNAŃ'!$A$5:$A$361,"&gt;="&amp;$G30,'FAZA 2 - IRONMAN 70.3 POZNAŃ'!$A$5:$A$361,"&lt;"&amp;EDATE($G30,1),'FAZA 2 - IRONMAN 70.3 POZNAŃ'!$L$5:$L$361,"&gt;0")</x:f>
        <x:v>0</x:v>
      </x:c>
      <x:c r="I30" s="213" t="str">
        <x:f>IFERROR((SUMIFS('FAZA 1 - OSLO MARATHON'!$L$5:$L$99,'FAZA 1 - OSLO MARATHON'!$A$5:$A$99,"&gt;="&amp;$G30,'FAZA 1 - OSLO MARATHON'!$A$5:$A$99,"&lt;"&amp;EDATE($G30,1))+SUMIFS('FAZA 2 - IRONMAN 70.3 POZNAŃ'!$L$5:$L$361,'FAZA 2 - IRONMAN 70.3 POZNAŃ'!$A$5:$A$361,"&gt;="&amp;$G30,'FAZA 2 - IRONMAN 70.3 POZNAŃ'!$A$5:$A$361,"&lt;"&amp;EDATE($G30,1)))/(COUNTIFS('FAZA 1 - OSLO MARATHON'!$A$5:$A$99,"&gt;="&amp;$G30,'FAZA 1 - OSLO MARATHON'!$A$5:$A$99,"&lt;"&amp;EDATE($G30,1),'FAZA 1 - OSLO MARATHON'!$L$5:$L$99,"&gt;0")+COUNTIFS('FAZA 2 - IRONMAN 70.3 POZNAŃ'!$A$5:$A$361,"&gt;="&amp;$G30,'FAZA 2 - IRONMAN 70.3 POZNAŃ'!$A$5:$A$361,"&lt;"&amp;EDATE($G30,1),'FAZA 2 - IRONMAN 70.3 POZNAŃ'!$L$5:$L$361,"&gt;0")),"")</x:f>
      </x:c>
      <x:c r="J30" s="213" t="str">
        <x:f>IFERROR((SUMIFS('FAZA 1 - OSLO MARATHON'!$M$5:$M$99,'FAZA 1 - OSLO MARATHON'!$A$5:$A$99,"&gt;="&amp;$G30,'FAZA 1 - OSLO MARATHON'!$A$5:$A$99,"&lt;"&amp;EDATE($G30,1))+SUMIFS('FAZA 2 - IRONMAN 70.3 POZNAŃ'!$M$5:$M$361,'FAZA 2 - IRONMAN 70.3 POZNAŃ'!$A$5:$A$361,"&gt;="&amp;$G30,'FAZA 2 - IRONMAN 70.3 POZNAŃ'!$A$5:$A$361,"&lt;"&amp;EDATE($G30,1)))/(COUNTIFS('FAZA 1 - OSLO MARATHON'!$A$5:$A$99,"&gt;="&amp;$G30,'FAZA 1 - OSLO MARATHON'!$A$5:$A$99,"&lt;"&amp;EDATE($G30,1),'FAZA 1 - OSLO MARATHON'!$M$5:$M$99,"&gt;=0",'FAZA 1 - OSLO MARATHON'!$M$5:$M$99,"&lt;&gt;")+COUNTIFS('FAZA 2 - IRONMAN 70.3 POZNAŃ'!$A$5:$A$361,"&gt;="&amp;$G30,'FAZA 2 - IRONMAN 70.3 POZNAŃ'!$A$5:$A$361,"&lt;"&amp;EDATE($G30,1),'FAZA 2 - IRONMAN 70.3 POZNAŃ'!$M$5:$M$361,"&gt;=0",'FAZA 2 - IRONMAN 70.3 POZNAŃ'!$M$5:$M$361,"&lt;&gt;")),"")</x:f>
      </x:c>
      <x:c r="K30" s="212" t="n">
        <x:f>COUNTIFS('FAZA 1 - OSLO MARATHON'!$A$5:$A$99,"&gt;="&amp;$G30,'FAZA 1 - OSLO MARATHON'!$A$5:$A$99,"&lt;"&amp;EDATE($G30,1),'FAZA 1 - OSLO MARATHON'!$M$5:$M$99,"&gt;=3")+COUNTIFS('FAZA 2 - IRONMAN 70.3 POZNAŃ'!$A$5:$A$361,"&gt;="&amp;$G30,'FAZA 2 - IRONMAN 70.3 POZNAŃ'!$A$5:$A$361,"&lt;"&amp;EDATE($G30,1),'FAZA 2 - IRONMAN 70.3 POZNAŃ'!$M$5:$M$361,"&gt;=3")</x:f>
        <x:v>0</x:v>
      </x:c>
      <x:c r="L30" s="212" t="n">
        <x:f>COUNTIFS('FAZA 1 - OSLO MARATHON'!$A$5:$A$99,"&gt;="&amp;$G30,'FAZA 1 - OSLO MARATHON'!$A$5:$A$99,"&lt;"&amp;EDATE($G30,1),'FAZA 1 - OSLO MARATHON'!$M$5:$M$99,"&gt;=5")+COUNTIFS('FAZA 2 - IRONMAN 70.3 POZNAŃ'!$A$5:$A$361,"&gt;="&amp;$G30,'FAZA 2 - IRONMAN 70.3 POZNAŃ'!$A$5:$A$361,"&lt;"&amp;EDATE($G30,1),'FAZA 2 - IRONMAN 70.3 POZNAŃ'!$M$5:$M$361,"&gt;=5")</x:f>
        <x:v>0</x:v>
      </x:c>
      <x:c r="M30" s="213" t="str">
        <x:f>IFERROR((SUMIFS('FAZA 1 - OSLO MARATHON'!$N$5:$N$99,'FAZA 1 - OSLO MARATHON'!$A$5:$A$99,"&gt;="&amp;$G30,'FAZA 1 - OSLO MARATHON'!$A$5:$A$99,"&lt;"&amp;EDATE($G30,1))+SUMIFS('FAZA 2 - IRONMAN 70.3 POZNAŃ'!$N$5:$N$361,'FAZA 2 - IRONMAN 70.3 POZNAŃ'!$A$5:$A$361,"&gt;="&amp;$G30,'FAZA 2 - IRONMAN 70.3 POZNAŃ'!$A$5:$A$361,"&lt;"&amp;EDATE($G30,1)))/(COUNTIFS('FAZA 1 - OSLO MARATHON'!$A$5:$A$99,"&gt;="&amp;$G30,'FAZA 1 - OSLO MARATHON'!$A$5:$A$99,"&lt;"&amp;EDATE($G30,1),'FAZA 1 - OSLO MARATHON'!$N$5:$N$99,"&gt;0")+COUNTIFS('FAZA 2 - IRONMAN 70.3 POZNAŃ'!$A$5:$A$361,"&gt;="&amp;$G30,'FAZA 2 - IRONMAN 70.3 POZNAŃ'!$A$5:$A$361,"&lt;"&amp;EDATE($G30,1),'FAZA 2 - IRONMAN 70.3 POZNAŃ'!$N$5:$N$361,"&gt;0")),"")</x:f>
      </x:c>
      <x:c r="N30" s="212" t="n">
        <x:f>COUNTIFS('FAZA 1 - OSLO MARATHON'!$A$5:$A$99,"&gt;="&amp;$G30,'FAZA 1 - OSLO MARATHON'!$A$5:$A$99,"&lt;"&amp;EDATE($G30,1),'FAZA 1 - OSLO MARATHON'!$O$5:$O$99,"&lt;&gt;")+COUNTIFS('FAZA 2 - IRONMAN 70.3 POZNAŃ'!$A$5:$A$361,"&gt;="&amp;$G30,'FAZA 2 - IRONMAN 70.3 POZNAŃ'!$A$5:$A$361,"&lt;"&amp;EDATE($G30,1),'FAZA 2 - IRONMAN 70.3 POZNAŃ'!$O$5:$O$361,"&lt;&gt;")</x:f>
        <x:v>0</x:v>
      </x:c>
      <x:c r="O30" s="204" t="str">
        <x:f>IF(L30&gt;=1,"CZERWONY",IF(K30&gt;=4,"POMARAŃCZOWY",IF(AND(ISNUMBER(I30),I30&gt;=6.5,ISNUMBER(M30),M30&lt;6),"ŻÓŁTY",IF(H30=0,"BRAK DANYCH","ZIELONY"))))</x:f>
        <x:v>BRAK DANYCH</x:v>
      </x:c>
    </x:row>
    <x:row r="31" ht="22" customHeight="1">
      <x:c r="G31" s="200" t="n">
        <x:v>46447</x:v>
      </x:c>
      <x:c r="H31" s="212" t="n">
        <x:f>COUNTIFS('FAZA 1 - OSLO MARATHON'!$A$5:$A$99,"&gt;="&amp;$G31,'FAZA 1 - OSLO MARATHON'!$A$5:$A$99,"&lt;"&amp;EDATE($G31,1),'FAZA 1 - OSLO MARATHON'!$L$5:$L$99,"&gt;0")+COUNTIFS('FAZA 2 - IRONMAN 70.3 POZNAŃ'!$A$5:$A$361,"&gt;="&amp;$G31,'FAZA 2 - IRONMAN 70.3 POZNAŃ'!$A$5:$A$361,"&lt;"&amp;EDATE($G31,1),'FAZA 2 - IRONMAN 70.3 POZNAŃ'!$L$5:$L$361,"&gt;0")</x:f>
        <x:v>0</x:v>
      </x:c>
      <x:c r="I31" s="213" t="str">
        <x:f>IFERROR((SUMIFS('FAZA 1 - OSLO MARATHON'!$L$5:$L$99,'FAZA 1 - OSLO MARATHON'!$A$5:$A$99,"&gt;="&amp;$G31,'FAZA 1 - OSLO MARATHON'!$A$5:$A$99,"&lt;"&amp;EDATE($G31,1))+SUMIFS('FAZA 2 - IRONMAN 70.3 POZNAŃ'!$L$5:$L$361,'FAZA 2 - IRONMAN 70.3 POZNAŃ'!$A$5:$A$361,"&gt;="&amp;$G31,'FAZA 2 - IRONMAN 70.3 POZNAŃ'!$A$5:$A$361,"&lt;"&amp;EDATE($G31,1)))/(COUNTIFS('FAZA 1 - OSLO MARATHON'!$A$5:$A$99,"&gt;="&amp;$G31,'FAZA 1 - OSLO MARATHON'!$A$5:$A$99,"&lt;"&amp;EDATE($G31,1),'FAZA 1 - OSLO MARATHON'!$L$5:$L$99,"&gt;0")+COUNTIFS('FAZA 2 - IRONMAN 70.3 POZNAŃ'!$A$5:$A$361,"&gt;="&amp;$G31,'FAZA 2 - IRONMAN 70.3 POZNAŃ'!$A$5:$A$361,"&lt;"&amp;EDATE($G31,1),'FAZA 2 - IRONMAN 70.3 POZNAŃ'!$L$5:$L$361,"&gt;0")),"")</x:f>
      </x:c>
      <x:c r="J31" s="213" t="str">
        <x:f>IFERROR((SUMIFS('FAZA 1 - OSLO MARATHON'!$M$5:$M$99,'FAZA 1 - OSLO MARATHON'!$A$5:$A$99,"&gt;="&amp;$G31,'FAZA 1 - OSLO MARATHON'!$A$5:$A$99,"&lt;"&amp;EDATE($G31,1))+SUMIFS('FAZA 2 - IRONMAN 70.3 POZNAŃ'!$M$5:$M$361,'FAZA 2 - IRONMAN 70.3 POZNAŃ'!$A$5:$A$361,"&gt;="&amp;$G31,'FAZA 2 - IRONMAN 70.3 POZNAŃ'!$A$5:$A$361,"&lt;"&amp;EDATE($G31,1)))/(COUNTIFS('FAZA 1 - OSLO MARATHON'!$A$5:$A$99,"&gt;="&amp;$G31,'FAZA 1 - OSLO MARATHON'!$A$5:$A$99,"&lt;"&amp;EDATE($G31,1),'FAZA 1 - OSLO MARATHON'!$M$5:$M$99,"&gt;=0",'FAZA 1 - OSLO MARATHON'!$M$5:$M$99,"&lt;&gt;")+COUNTIFS('FAZA 2 - IRONMAN 70.3 POZNAŃ'!$A$5:$A$361,"&gt;="&amp;$G31,'FAZA 2 - IRONMAN 70.3 POZNAŃ'!$A$5:$A$361,"&lt;"&amp;EDATE($G31,1),'FAZA 2 - IRONMAN 70.3 POZNAŃ'!$M$5:$M$361,"&gt;=0",'FAZA 2 - IRONMAN 70.3 POZNAŃ'!$M$5:$M$361,"&lt;&gt;")),"")</x:f>
      </x:c>
      <x:c r="K31" s="212" t="n">
        <x:f>COUNTIFS('FAZA 1 - OSLO MARATHON'!$A$5:$A$99,"&gt;="&amp;$G31,'FAZA 1 - OSLO MARATHON'!$A$5:$A$99,"&lt;"&amp;EDATE($G31,1),'FAZA 1 - OSLO MARATHON'!$M$5:$M$99,"&gt;=3")+COUNTIFS('FAZA 2 - IRONMAN 70.3 POZNAŃ'!$A$5:$A$361,"&gt;="&amp;$G31,'FAZA 2 - IRONMAN 70.3 POZNAŃ'!$A$5:$A$361,"&lt;"&amp;EDATE($G31,1),'FAZA 2 - IRONMAN 70.3 POZNAŃ'!$M$5:$M$361,"&gt;=3")</x:f>
        <x:v>0</x:v>
      </x:c>
      <x:c r="L31" s="212" t="n">
        <x:f>COUNTIFS('FAZA 1 - OSLO MARATHON'!$A$5:$A$99,"&gt;="&amp;$G31,'FAZA 1 - OSLO MARATHON'!$A$5:$A$99,"&lt;"&amp;EDATE($G31,1),'FAZA 1 - OSLO MARATHON'!$M$5:$M$99,"&gt;=5")+COUNTIFS('FAZA 2 - IRONMAN 70.3 POZNAŃ'!$A$5:$A$361,"&gt;="&amp;$G31,'FAZA 2 - IRONMAN 70.3 POZNAŃ'!$A$5:$A$361,"&lt;"&amp;EDATE($G31,1),'FAZA 2 - IRONMAN 70.3 POZNAŃ'!$M$5:$M$361,"&gt;=5")</x:f>
        <x:v>0</x:v>
      </x:c>
      <x:c r="M31" s="213" t="str">
        <x:f>IFERROR((SUMIFS('FAZA 1 - OSLO MARATHON'!$N$5:$N$99,'FAZA 1 - OSLO MARATHON'!$A$5:$A$99,"&gt;="&amp;$G31,'FAZA 1 - OSLO MARATHON'!$A$5:$A$99,"&lt;"&amp;EDATE($G31,1))+SUMIFS('FAZA 2 - IRONMAN 70.3 POZNAŃ'!$N$5:$N$361,'FAZA 2 - IRONMAN 70.3 POZNAŃ'!$A$5:$A$361,"&gt;="&amp;$G31,'FAZA 2 - IRONMAN 70.3 POZNAŃ'!$A$5:$A$361,"&lt;"&amp;EDATE($G31,1)))/(COUNTIFS('FAZA 1 - OSLO MARATHON'!$A$5:$A$99,"&gt;="&amp;$G31,'FAZA 1 - OSLO MARATHON'!$A$5:$A$99,"&lt;"&amp;EDATE($G31,1),'FAZA 1 - OSLO MARATHON'!$N$5:$N$99,"&gt;0")+COUNTIFS('FAZA 2 - IRONMAN 70.3 POZNAŃ'!$A$5:$A$361,"&gt;="&amp;$G31,'FAZA 2 - IRONMAN 70.3 POZNAŃ'!$A$5:$A$361,"&lt;"&amp;EDATE($G31,1),'FAZA 2 - IRONMAN 70.3 POZNAŃ'!$N$5:$N$361,"&gt;0")),"")</x:f>
      </x:c>
      <x:c r="N31" s="212" t="n">
        <x:f>COUNTIFS('FAZA 1 - OSLO MARATHON'!$A$5:$A$99,"&gt;="&amp;$G31,'FAZA 1 - OSLO MARATHON'!$A$5:$A$99,"&lt;"&amp;EDATE($G31,1),'FAZA 1 - OSLO MARATHON'!$O$5:$O$99,"&lt;&gt;")+COUNTIFS('FAZA 2 - IRONMAN 70.3 POZNAŃ'!$A$5:$A$361,"&gt;="&amp;$G31,'FAZA 2 - IRONMAN 70.3 POZNAŃ'!$A$5:$A$361,"&lt;"&amp;EDATE($G31,1),'FAZA 2 - IRONMAN 70.3 POZNAŃ'!$O$5:$O$361,"&lt;&gt;")</x:f>
        <x:v>0</x:v>
      </x:c>
      <x:c r="O31" s="204" t="str">
        <x:f>IF(L31&gt;=1,"CZERWONY",IF(K31&gt;=4,"POMARAŃCZOWY",IF(AND(ISNUMBER(I31),I31&gt;=6.5,ISNUMBER(M31),M31&lt;6),"ŻÓŁTY",IF(H31=0,"BRAK DANYCH","ZIELONY"))))</x:f>
        <x:v>BRAK DANYCH</x:v>
      </x:c>
    </x:row>
    <x:row r="32" ht="22" customHeight="1">
      <x:c r="G32" s="200" t="n">
        <x:v>46478</x:v>
      </x:c>
      <x:c r="H32" s="212" t="n">
        <x:f>COUNTIFS('FAZA 1 - OSLO MARATHON'!$A$5:$A$99,"&gt;="&amp;$G32,'FAZA 1 - OSLO MARATHON'!$A$5:$A$99,"&lt;"&amp;EDATE($G32,1),'FAZA 1 - OSLO MARATHON'!$L$5:$L$99,"&gt;0")+COUNTIFS('FAZA 2 - IRONMAN 70.3 POZNAŃ'!$A$5:$A$361,"&gt;="&amp;$G32,'FAZA 2 - IRONMAN 70.3 POZNAŃ'!$A$5:$A$361,"&lt;"&amp;EDATE($G32,1),'FAZA 2 - IRONMAN 70.3 POZNAŃ'!$L$5:$L$361,"&gt;0")</x:f>
        <x:v>0</x:v>
      </x:c>
      <x:c r="I32" s="213" t="str">
        <x:f>IFERROR((SUMIFS('FAZA 1 - OSLO MARATHON'!$L$5:$L$99,'FAZA 1 - OSLO MARATHON'!$A$5:$A$99,"&gt;="&amp;$G32,'FAZA 1 - OSLO MARATHON'!$A$5:$A$99,"&lt;"&amp;EDATE($G32,1))+SUMIFS('FAZA 2 - IRONMAN 70.3 POZNAŃ'!$L$5:$L$361,'FAZA 2 - IRONMAN 70.3 POZNAŃ'!$A$5:$A$361,"&gt;="&amp;$G32,'FAZA 2 - IRONMAN 70.3 POZNAŃ'!$A$5:$A$361,"&lt;"&amp;EDATE($G32,1)))/(COUNTIFS('FAZA 1 - OSLO MARATHON'!$A$5:$A$99,"&gt;="&amp;$G32,'FAZA 1 - OSLO MARATHON'!$A$5:$A$99,"&lt;"&amp;EDATE($G32,1),'FAZA 1 - OSLO MARATHON'!$L$5:$L$99,"&gt;0")+COUNTIFS('FAZA 2 - IRONMAN 70.3 POZNAŃ'!$A$5:$A$361,"&gt;="&amp;$G32,'FAZA 2 - IRONMAN 70.3 POZNAŃ'!$A$5:$A$361,"&lt;"&amp;EDATE($G32,1),'FAZA 2 - IRONMAN 70.3 POZNAŃ'!$L$5:$L$361,"&gt;0")),"")</x:f>
      </x:c>
      <x:c r="J32" s="213" t="str">
        <x:f>IFERROR((SUMIFS('FAZA 1 - OSLO MARATHON'!$M$5:$M$99,'FAZA 1 - OSLO MARATHON'!$A$5:$A$99,"&gt;="&amp;$G32,'FAZA 1 - OSLO MARATHON'!$A$5:$A$99,"&lt;"&amp;EDATE($G32,1))+SUMIFS('FAZA 2 - IRONMAN 70.3 POZNAŃ'!$M$5:$M$361,'FAZA 2 - IRONMAN 70.3 POZNAŃ'!$A$5:$A$361,"&gt;="&amp;$G32,'FAZA 2 - IRONMAN 70.3 POZNAŃ'!$A$5:$A$361,"&lt;"&amp;EDATE($G32,1)))/(COUNTIFS('FAZA 1 - OSLO MARATHON'!$A$5:$A$99,"&gt;="&amp;$G32,'FAZA 1 - OSLO MARATHON'!$A$5:$A$99,"&lt;"&amp;EDATE($G32,1),'FAZA 1 - OSLO MARATHON'!$M$5:$M$99,"&gt;=0",'FAZA 1 - OSLO MARATHON'!$M$5:$M$99,"&lt;&gt;")+COUNTIFS('FAZA 2 - IRONMAN 70.3 POZNAŃ'!$A$5:$A$361,"&gt;="&amp;$G32,'FAZA 2 - IRONMAN 70.3 POZNAŃ'!$A$5:$A$361,"&lt;"&amp;EDATE($G32,1),'FAZA 2 - IRONMAN 70.3 POZNAŃ'!$M$5:$M$361,"&gt;=0",'FAZA 2 - IRONMAN 70.3 POZNAŃ'!$M$5:$M$361,"&lt;&gt;")),"")</x:f>
      </x:c>
      <x:c r="K32" s="212" t="n">
        <x:f>COUNTIFS('FAZA 1 - OSLO MARATHON'!$A$5:$A$99,"&gt;="&amp;$G32,'FAZA 1 - OSLO MARATHON'!$A$5:$A$99,"&lt;"&amp;EDATE($G32,1),'FAZA 1 - OSLO MARATHON'!$M$5:$M$99,"&gt;=3")+COUNTIFS('FAZA 2 - IRONMAN 70.3 POZNAŃ'!$A$5:$A$361,"&gt;="&amp;$G32,'FAZA 2 - IRONMAN 70.3 POZNAŃ'!$A$5:$A$361,"&lt;"&amp;EDATE($G32,1),'FAZA 2 - IRONMAN 70.3 POZNAŃ'!$M$5:$M$361,"&gt;=3")</x:f>
        <x:v>0</x:v>
      </x:c>
      <x:c r="L32" s="212" t="n">
        <x:f>COUNTIFS('FAZA 1 - OSLO MARATHON'!$A$5:$A$99,"&gt;="&amp;$G32,'FAZA 1 - OSLO MARATHON'!$A$5:$A$99,"&lt;"&amp;EDATE($G32,1),'FAZA 1 - OSLO MARATHON'!$M$5:$M$99,"&gt;=5")+COUNTIFS('FAZA 2 - IRONMAN 70.3 POZNAŃ'!$A$5:$A$361,"&gt;="&amp;$G32,'FAZA 2 - IRONMAN 70.3 POZNAŃ'!$A$5:$A$361,"&lt;"&amp;EDATE($G32,1),'FAZA 2 - IRONMAN 70.3 POZNAŃ'!$M$5:$M$361,"&gt;=5")</x:f>
        <x:v>0</x:v>
      </x:c>
      <x:c r="M32" s="213" t="str">
        <x:f>IFERROR((SUMIFS('FAZA 1 - OSLO MARATHON'!$N$5:$N$99,'FAZA 1 - OSLO MARATHON'!$A$5:$A$99,"&gt;="&amp;$G32,'FAZA 1 - OSLO MARATHON'!$A$5:$A$99,"&lt;"&amp;EDATE($G32,1))+SUMIFS('FAZA 2 - IRONMAN 70.3 POZNAŃ'!$N$5:$N$361,'FAZA 2 - IRONMAN 70.3 POZNAŃ'!$A$5:$A$361,"&gt;="&amp;$G32,'FAZA 2 - IRONMAN 70.3 POZNAŃ'!$A$5:$A$361,"&lt;"&amp;EDATE($G32,1)))/(COUNTIFS('FAZA 1 - OSLO MARATHON'!$A$5:$A$99,"&gt;="&amp;$G32,'FAZA 1 - OSLO MARATHON'!$A$5:$A$99,"&lt;"&amp;EDATE($G32,1),'FAZA 1 - OSLO MARATHON'!$N$5:$N$99,"&gt;0")+COUNTIFS('FAZA 2 - IRONMAN 70.3 POZNAŃ'!$A$5:$A$361,"&gt;="&amp;$G32,'FAZA 2 - IRONMAN 70.3 POZNAŃ'!$A$5:$A$361,"&lt;"&amp;EDATE($G32,1),'FAZA 2 - IRONMAN 70.3 POZNAŃ'!$N$5:$N$361,"&gt;0")),"")</x:f>
      </x:c>
      <x:c r="N32" s="212" t="n">
        <x:f>COUNTIFS('FAZA 1 - OSLO MARATHON'!$A$5:$A$99,"&gt;="&amp;$G32,'FAZA 1 - OSLO MARATHON'!$A$5:$A$99,"&lt;"&amp;EDATE($G32,1),'FAZA 1 - OSLO MARATHON'!$O$5:$O$99,"&lt;&gt;")+COUNTIFS('FAZA 2 - IRONMAN 70.3 POZNAŃ'!$A$5:$A$361,"&gt;="&amp;$G32,'FAZA 2 - IRONMAN 70.3 POZNAŃ'!$A$5:$A$361,"&lt;"&amp;EDATE($G32,1),'FAZA 2 - IRONMAN 70.3 POZNAŃ'!$O$5:$O$361,"&lt;&gt;")</x:f>
        <x:v>0</x:v>
      </x:c>
      <x:c r="O32" s="204" t="str">
        <x:f>IF(L32&gt;=1,"CZERWONY",IF(K32&gt;=4,"POMARAŃCZOWY",IF(AND(ISNUMBER(I32),I32&gt;=6.5,ISNUMBER(M32),M32&lt;6),"ŻÓŁTY",IF(H32=0,"BRAK DANYCH","ZIELONY"))))</x:f>
        <x:v>BRAK DANYCH</x:v>
      </x:c>
    </x:row>
    <x:row r="33" ht="22" customHeight="1">
      <x:c r="G33" s="200" t="n">
        <x:v>46508</x:v>
      </x:c>
      <x:c r="H33" s="212" t="n">
        <x:f>COUNTIFS('FAZA 1 - OSLO MARATHON'!$A$5:$A$99,"&gt;="&amp;$G33,'FAZA 1 - OSLO MARATHON'!$A$5:$A$99,"&lt;"&amp;EDATE($G33,1),'FAZA 1 - OSLO MARATHON'!$L$5:$L$99,"&gt;0")+COUNTIFS('FAZA 2 - IRONMAN 70.3 POZNAŃ'!$A$5:$A$361,"&gt;="&amp;$G33,'FAZA 2 - IRONMAN 70.3 POZNAŃ'!$A$5:$A$361,"&lt;"&amp;EDATE($G33,1),'FAZA 2 - IRONMAN 70.3 POZNAŃ'!$L$5:$L$361,"&gt;0")</x:f>
        <x:v>0</x:v>
      </x:c>
      <x:c r="I33" s="213" t="str">
        <x:f>IFERROR((SUMIFS('FAZA 1 - OSLO MARATHON'!$L$5:$L$99,'FAZA 1 - OSLO MARATHON'!$A$5:$A$99,"&gt;="&amp;$G33,'FAZA 1 - OSLO MARATHON'!$A$5:$A$99,"&lt;"&amp;EDATE($G33,1))+SUMIFS('FAZA 2 - IRONMAN 70.3 POZNAŃ'!$L$5:$L$361,'FAZA 2 - IRONMAN 70.3 POZNAŃ'!$A$5:$A$361,"&gt;="&amp;$G33,'FAZA 2 - IRONMAN 70.3 POZNAŃ'!$A$5:$A$361,"&lt;"&amp;EDATE($G33,1)))/(COUNTIFS('FAZA 1 - OSLO MARATHON'!$A$5:$A$99,"&gt;="&amp;$G33,'FAZA 1 - OSLO MARATHON'!$A$5:$A$99,"&lt;"&amp;EDATE($G33,1),'FAZA 1 - OSLO MARATHON'!$L$5:$L$99,"&gt;0")+COUNTIFS('FAZA 2 - IRONMAN 70.3 POZNAŃ'!$A$5:$A$361,"&gt;="&amp;$G33,'FAZA 2 - IRONMAN 70.3 POZNAŃ'!$A$5:$A$361,"&lt;"&amp;EDATE($G33,1),'FAZA 2 - IRONMAN 70.3 POZNAŃ'!$L$5:$L$361,"&gt;0")),"")</x:f>
      </x:c>
      <x:c r="J33" s="213" t="str">
        <x:f>IFERROR((SUMIFS('FAZA 1 - OSLO MARATHON'!$M$5:$M$99,'FAZA 1 - OSLO MARATHON'!$A$5:$A$99,"&gt;="&amp;$G33,'FAZA 1 - OSLO MARATHON'!$A$5:$A$99,"&lt;"&amp;EDATE($G33,1))+SUMIFS('FAZA 2 - IRONMAN 70.3 POZNAŃ'!$M$5:$M$361,'FAZA 2 - IRONMAN 70.3 POZNAŃ'!$A$5:$A$361,"&gt;="&amp;$G33,'FAZA 2 - IRONMAN 70.3 POZNAŃ'!$A$5:$A$361,"&lt;"&amp;EDATE($G33,1)))/(COUNTIFS('FAZA 1 - OSLO MARATHON'!$A$5:$A$99,"&gt;="&amp;$G33,'FAZA 1 - OSLO MARATHON'!$A$5:$A$99,"&lt;"&amp;EDATE($G33,1),'FAZA 1 - OSLO MARATHON'!$M$5:$M$99,"&gt;=0",'FAZA 1 - OSLO MARATHON'!$M$5:$M$99,"&lt;&gt;")+COUNTIFS('FAZA 2 - IRONMAN 70.3 POZNAŃ'!$A$5:$A$361,"&gt;="&amp;$G33,'FAZA 2 - IRONMAN 70.3 POZNAŃ'!$A$5:$A$361,"&lt;"&amp;EDATE($G33,1),'FAZA 2 - IRONMAN 70.3 POZNAŃ'!$M$5:$M$361,"&gt;=0",'FAZA 2 - IRONMAN 70.3 POZNAŃ'!$M$5:$M$361,"&lt;&gt;")),"")</x:f>
      </x:c>
      <x:c r="K33" s="212" t="n">
        <x:f>COUNTIFS('FAZA 1 - OSLO MARATHON'!$A$5:$A$99,"&gt;="&amp;$G33,'FAZA 1 - OSLO MARATHON'!$A$5:$A$99,"&lt;"&amp;EDATE($G33,1),'FAZA 1 - OSLO MARATHON'!$M$5:$M$99,"&gt;=3")+COUNTIFS('FAZA 2 - IRONMAN 70.3 POZNAŃ'!$A$5:$A$361,"&gt;="&amp;$G33,'FAZA 2 - IRONMAN 70.3 POZNAŃ'!$A$5:$A$361,"&lt;"&amp;EDATE($G33,1),'FAZA 2 - IRONMAN 70.3 POZNAŃ'!$M$5:$M$361,"&gt;=3")</x:f>
        <x:v>0</x:v>
      </x:c>
      <x:c r="L33" s="212" t="n">
        <x:f>COUNTIFS('FAZA 1 - OSLO MARATHON'!$A$5:$A$99,"&gt;="&amp;$G33,'FAZA 1 - OSLO MARATHON'!$A$5:$A$99,"&lt;"&amp;EDATE($G33,1),'FAZA 1 - OSLO MARATHON'!$M$5:$M$99,"&gt;=5")+COUNTIFS('FAZA 2 - IRONMAN 70.3 POZNAŃ'!$A$5:$A$361,"&gt;="&amp;$G33,'FAZA 2 - IRONMAN 70.3 POZNAŃ'!$A$5:$A$361,"&lt;"&amp;EDATE($G33,1),'FAZA 2 - IRONMAN 70.3 POZNAŃ'!$M$5:$M$361,"&gt;=5")</x:f>
        <x:v>0</x:v>
      </x:c>
      <x:c r="M33" s="213" t="str">
        <x:f>IFERROR((SUMIFS('FAZA 1 - OSLO MARATHON'!$N$5:$N$99,'FAZA 1 - OSLO MARATHON'!$A$5:$A$99,"&gt;="&amp;$G33,'FAZA 1 - OSLO MARATHON'!$A$5:$A$99,"&lt;"&amp;EDATE($G33,1))+SUMIFS('FAZA 2 - IRONMAN 70.3 POZNAŃ'!$N$5:$N$361,'FAZA 2 - IRONMAN 70.3 POZNAŃ'!$A$5:$A$361,"&gt;="&amp;$G33,'FAZA 2 - IRONMAN 70.3 POZNAŃ'!$A$5:$A$361,"&lt;"&amp;EDATE($G33,1)))/(COUNTIFS('FAZA 1 - OSLO MARATHON'!$A$5:$A$99,"&gt;="&amp;$G33,'FAZA 1 - OSLO MARATHON'!$A$5:$A$99,"&lt;"&amp;EDATE($G33,1),'FAZA 1 - OSLO MARATHON'!$N$5:$N$99,"&gt;0")+COUNTIFS('FAZA 2 - IRONMAN 70.3 POZNAŃ'!$A$5:$A$361,"&gt;="&amp;$G33,'FAZA 2 - IRONMAN 70.3 POZNAŃ'!$A$5:$A$361,"&lt;"&amp;EDATE($G33,1),'FAZA 2 - IRONMAN 70.3 POZNAŃ'!$N$5:$N$361,"&gt;0")),"")</x:f>
      </x:c>
      <x:c r="N33" s="212" t="n">
        <x:f>COUNTIFS('FAZA 1 - OSLO MARATHON'!$A$5:$A$99,"&gt;="&amp;$G33,'FAZA 1 - OSLO MARATHON'!$A$5:$A$99,"&lt;"&amp;EDATE($G33,1),'FAZA 1 - OSLO MARATHON'!$O$5:$O$99,"&lt;&gt;")+COUNTIFS('FAZA 2 - IRONMAN 70.3 POZNAŃ'!$A$5:$A$361,"&gt;="&amp;$G33,'FAZA 2 - IRONMAN 70.3 POZNAŃ'!$A$5:$A$361,"&lt;"&amp;EDATE($G33,1),'FAZA 2 - IRONMAN 70.3 POZNAŃ'!$O$5:$O$361,"&lt;&gt;")</x:f>
        <x:v>0</x:v>
      </x:c>
      <x:c r="O33" s="204" t="str">
        <x:f>IF(L33&gt;=1,"CZERWONY",IF(K33&gt;=4,"POMARAŃCZOWY",IF(AND(ISNUMBER(I33),I33&gt;=6.5,ISNUMBER(M33),M33&lt;6),"ŻÓŁTY",IF(H33=0,"BRAK DANYCH","ZIELONY"))))</x:f>
        <x:v>BRAK DANYCH</x:v>
      </x:c>
    </x:row>
    <x:row r="34" ht="22" customHeight="1">
      <x:c r="G34" s="200" t="n">
        <x:v>46539</x:v>
      </x:c>
      <x:c r="H34" s="212" t="n">
        <x:f>COUNTIFS('FAZA 1 - OSLO MARATHON'!$A$5:$A$99,"&gt;="&amp;$G34,'FAZA 1 - OSLO MARATHON'!$A$5:$A$99,"&lt;"&amp;EDATE($G34,1),'FAZA 1 - OSLO MARATHON'!$L$5:$L$99,"&gt;0")+COUNTIFS('FAZA 2 - IRONMAN 70.3 POZNAŃ'!$A$5:$A$361,"&gt;="&amp;$G34,'FAZA 2 - IRONMAN 70.3 POZNAŃ'!$A$5:$A$361,"&lt;"&amp;EDATE($G34,1),'FAZA 2 - IRONMAN 70.3 POZNAŃ'!$L$5:$L$361,"&gt;0")</x:f>
        <x:v>0</x:v>
      </x:c>
      <x:c r="I34" s="213" t="str">
        <x:f>IFERROR((SUMIFS('FAZA 1 - OSLO MARATHON'!$L$5:$L$99,'FAZA 1 - OSLO MARATHON'!$A$5:$A$99,"&gt;="&amp;$G34,'FAZA 1 - OSLO MARATHON'!$A$5:$A$99,"&lt;"&amp;EDATE($G34,1))+SUMIFS('FAZA 2 - IRONMAN 70.3 POZNAŃ'!$L$5:$L$361,'FAZA 2 - IRONMAN 70.3 POZNAŃ'!$A$5:$A$361,"&gt;="&amp;$G34,'FAZA 2 - IRONMAN 70.3 POZNAŃ'!$A$5:$A$361,"&lt;"&amp;EDATE($G34,1)))/(COUNTIFS('FAZA 1 - OSLO MARATHON'!$A$5:$A$99,"&gt;="&amp;$G34,'FAZA 1 - OSLO MARATHON'!$A$5:$A$99,"&lt;"&amp;EDATE($G34,1),'FAZA 1 - OSLO MARATHON'!$L$5:$L$99,"&gt;0")+COUNTIFS('FAZA 2 - IRONMAN 70.3 POZNAŃ'!$A$5:$A$361,"&gt;="&amp;$G34,'FAZA 2 - IRONMAN 70.3 POZNAŃ'!$A$5:$A$361,"&lt;"&amp;EDATE($G34,1),'FAZA 2 - IRONMAN 70.3 POZNAŃ'!$L$5:$L$361,"&gt;0")),"")</x:f>
      </x:c>
      <x:c r="J34" s="213" t="str">
        <x:f>IFERROR((SUMIFS('FAZA 1 - OSLO MARATHON'!$M$5:$M$99,'FAZA 1 - OSLO MARATHON'!$A$5:$A$99,"&gt;="&amp;$G34,'FAZA 1 - OSLO MARATHON'!$A$5:$A$99,"&lt;"&amp;EDATE($G34,1))+SUMIFS('FAZA 2 - IRONMAN 70.3 POZNAŃ'!$M$5:$M$361,'FAZA 2 - IRONMAN 70.3 POZNAŃ'!$A$5:$A$361,"&gt;="&amp;$G34,'FAZA 2 - IRONMAN 70.3 POZNAŃ'!$A$5:$A$361,"&lt;"&amp;EDATE($G34,1)))/(COUNTIFS('FAZA 1 - OSLO MARATHON'!$A$5:$A$99,"&gt;="&amp;$G34,'FAZA 1 - OSLO MARATHON'!$A$5:$A$99,"&lt;"&amp;EDATE($G34,1),'FAZA 1 - OSLO MARATHON'!$M$5:$M$99,"&gt;=0",'FAZA 1 - OSLO MARATHON'!$M$5:$M$99,"&lt;&gt;")+COUNTIFS('FAZA 2 - IRONMAN 70.3 POZNAŃ'!$A$5:$A$361,"&gt;="&amp;$G34,'FAZA 2 - IRONMAN 70.3 POZNAŃ'!$A$5:$A$361,"&lt;"&amp;EDATE($G34,1),'FAZA 2 - IRONMAN 70.3 POZNAŃ'!$M$5:$M$361,"&gt;=0",'FAZA 2 - IRONMAN 70.3 POZNAŃ'!$M$5:$M$361,"&lt;&gt;")),"")</x:f>
      </x:c>
      <x:c r="K34" s="212" t="n">
        <x:f>COUNTIFS('FAZA 1 - OSLO MARATHON'!$A$5:$A$99,"&gt;="&amp;$G34,'FAZA 1 - OSLO MARATHON'!$A$5:$A$99,"&lt;"&amp;EDATE($G34,1),'FAZA 1 - OSLO MARATHON'!$M$5:$M$99,"&gt;=3")+COUNTIFS('FAZA 2 - IRONMAN 70.3 POZNAŃ'!$A$5:$A$361,"&gt;="&amp;$G34,'FAZA 2 - IRONMAN 70.3 POZNAŃ'!$A$5:$A$361,"&lt;"&amp;EDATE($G34,1),'FAZA 2 - IRONMAN 70.3 POZNAŃ'!$M$5:$M$361,"&gt;=3")</x:f>
        <x:v>0</x:v>
      </x:c>
      <x:c r="L34" s="212" t="n">
        <x:f>COUNTIFS('FAZA 1 - OSLO MARATHON'!$A$5:$A$99,"&gt;="&amp;$G34,'FAZA 1 - OSLO MARATHON'!$A$5:$A$99,"&lt;"&amp;EDATE($G34,1),'FAZA 1 - OSLO MARATHON'!$M$5:$M$99,"&gt;=5")+COUNTIFS('FAZA 2 - IRONMAN 70.3 POZNAŃ'!$A$5:$A$361,"&gt;="&amp;$G34,'FAZA 2 - IRONMAN 70.3 POZNAŃ'!$A$5:$A$361,"&lt;"&amp;EDATE($G34,1),'FAZA 2 - IRONMAN 70.3 POZNAŃ'!$M$5:$M$361,"&gt;=5")</x:f>
        <x:v>0</x:v>
      </x:c>
      <x:c r="M34" s="213" t="str">
        <x:f>IFERROR((SUMIFS('FAZA 1 - OSLO MARATHON'!$N$5:$N$99,'FAZA 1 - OSLO MARATHON'!$A$5:$A$99,"&gt;="&amp;$G34,'FAZA 1 - OSLO MARATHON'!$A$5:$A$99,"&lt;"&amp;EDATE($G34,1))+SUMIFS('FAZA 2 - IRONMAN 70.3 POZNAŃ'!$N$5:$N$361,'FAZA 2 - IRONMAN 70.3 POZNAŃ'!$A$5:$A$361,"&gt;="&amp;$G34,'FAZA 2 - IRONMAN 70.3 POZNAŃ'!$A$5:$A$361,"&lt;"&amp;EDATE($G34,1)))/(COUNTIFS('FAZA 1 - OSLO MARATHON'!$A$5:$A$99,"&gt;="&amp;$G34,'FAZA 1 - OSLO MARATHON'!$A$5:$A$99,"&lt;"&amp;EDATE($G34,1),'FAZA 1 - OSLO MARATHON'!$N$5:$N$99,"&gt;0")+COUNTIFS('FAZA 2 - IRONMAN 70.3 POZNAŃ'!$A$5:$A$361,"&gt;="&amp;$G34,'FAZA 2 - IRONMAN 70.3 POZNAŃ'!$A$5:$A$361,"&lt;"&amp;EDATE($G34,1),'FAZA 2 - IRONMAN 70.3 POZNAŃ'!$N$5:$N$361,"&gt;0")),"")</x:f>
      </x:c>
      <x:c r="N34" s="212" t="n">
        <x:f>COUNTIFS('FAZA 1 - OSLO MARATHON'!$A$5:$A$99,"&gt;="&amp;$G34,'FAZA 1 - OSLO MARATHON'!$A$5:$A$99,"&lt;"&amp;EDATE($G34,1),'FAZA 1 - OSLO MARATHON'!$O$5:$O$99,"&lt;&gt;")+COUNTIFS('FAZA 2 - IRONMAN 70.3 POZNAŃ'!$A$5:$A$361,"&gt;="&amp;$G34,'FAZA 2 - IRONMAN 70.3 POZNAŃ'!$A$5:$A$361,"&lt;"&amp;EDATE($G34,1),'FAZA 2 - IRONMAN 70.3 POZNAŃ'!$O$5:$O$361,"&lt;&gt;")</x:f>
        <x:v>0</x:v>
      </x:c>
      <x:c r="O34" s="204" t="str">
        <x:f>IF(L34&gt;=1,"CZERWONY",IF(K34&gt;=4,"POMARAŃCZOWY",IF(AND(ISNUMBER(I34),I34&gt;=6.5,ISNUMBER(M34),M34&lt;6),"ŻÓŁTY",IF(H34=0,"BRAK DANYCH","ZIELONY"))))</x:f>
        <x:v>BRAK DANYCH</x:v>
      </x:c>
    </x:row>
    <x:row r="35" ht="22" customHeight="1">
      <x:c r="G35" s="200" t="n">
        <x:v>46569</x:v>
      </x:c>
      <x:c r="H35" s="212" t="n">
        <x:f>COUNTIFS('FAZA 1 - OSLO MARATHON'!$A$5:$A$99,"&gt;="&amp;$G35,'FAZA 1 - OSLO MARATHON'!$A$5:$A$99,"&lt;"&amp;EDATE($G35,1),'FAZA 1 - OSLO MARATHON'!$L$5:$L$99,"&gt;0")+COUNTIFS('FAZA 2 - IRONMAN 70.3 POZNAŃ'!$A$5:$A$361,"&gt;="&amp;$G35,'FAZA 2 - IRONMAN 70.3 POZNAŃ'!$A$5:$A$361,"&lt;"&amp;EDATE($G35,1),'FAZA 2 - IRONMAN 70.3 POZNAŃ'!$L$5:$L$361,"&gt;0")</x:f>
        <x:v>0</x:v>
      </x:c>
      <x:c r="I35" s="213" t="str">
        <x:f>IFERROR((SUMIFS('FAZA 1 - OSLO MARATHON'!$L$5:$L$99,'FAZA 1 - OSLO MARATHON'!$A$5:$A$99,"&gt;="&amp;$G35,'FAZA 1 - OSLO MARATHON'!$A$5:$A$99,"&lt;"&amp;EDATE($G35,1))+SUMIFS('FAZA 2 - IRONMAN 70.3 POZNAŃ'!$L$5:$L$361,'FAZA 2 - IRONMAN 70.3 POZNAŃ'!$A$5:$A$361,"&gt;="&amp;$G35,'FAZA 2 - IRONMAN 70.3 POZNAŃ'!$A$5:$A$361,"&lt;"&amp;EDATE($G35,1)))/(COUNTIFS('FAZA 1 - OSLO MARATHON'!$A$5:$A$99,"&gt;="&amp;$G35,'FAZA 1 - OSLO MARATHON'!$A$5:$A$99,"&lt;"&amp;EDATE($G35,1),'FAZA 1 - OSLO MARATHON'!$L$5:$L$99,"&gt;0")+COUNTIFS('FAZA 2 - IRONMAN 70.3 POZNAŃ'!$A$5:$A$361,"&gt;="&amp;$G35,'FAZA 2 - IRONMAN 70.3 POZNAŃ'!$A$5:$A$361,"&lt;"&amp;EDATE($G35,1),'FAZA 2 - IRONMAN 70.3 POZNAŃ'!$L$5:$L$361,"&gt;0")),"")</x:f>
      </x:c>
      <x:c r="J35" s="213" t="str">
        <x:f>IFERROR((SUMIFS('FAZA 1 - OSLO MARATHON'!$M$5:$M$99,'FAZA 1 - OSLO MARATHON'!$A$5:$A$99,"&gt;="&amp;$G35,'FAZA 1 - OSLO MARATHON'!$A$5:$A$99,"&lt;"&amp;EDATE($G35,1))+SUMIFS('FAZA 2 - IRONMAN 70.3 POZNAŃ'!$M$5:$M$361,'FAZA 2 - IRONMAN 70.3 POZNAŃ'!$A$5:$A$361,"&gt;="&amp;$G35,'FAZA 2 - IRONMAN 70.3 POZNAŃ'!$A$5:$A$361,"&lt;"&amp;EDATE($G35,1)))/(COUNTIFS('FAZA 1 - OSLO MARATHON'!$A$5:$A$99,"&gt;="&amp;$G35,'FAZA 1 - OSLO MARATHON'!$A$5:$A$99,"&lt;"&amp;EDATE($G35,1),'FAZA 1 - OSLO MARATHON'!$M$5:$M$99,"&gt;=0",'FAZA 1 - OSLO MARATHON'!$M$5:$M$99,"&lt;&gt;")+COUNTIFS('FAZA 2 - IRONMAN 70.3 POZNAŃ'!$A$5:$A$361,"&gt;="&amp;$G35,'FAZA 2 - IRONMAN 70.3 POZNAŃ'!$A$5:$A$361,"&lt;"&amp;EDATE($G35,1),'FAZA 2 - IRONMAN 70.3 POZNAŃ'!$M$5:$M$361,"&gt;=0",'FAZA 2 - IRONMAN 70.3 POZNAŃ'!$M$5:$M$361,"&lt;&gt;")),"")</x:f>
      </x:c>
      <x:c r="K35" s="212" t="n">
        <x:f>COUNTIFS('FAZA 1 - OSLO MARATHON'!$A$5:$A$99,"&gt;="&amp;$G35,'FAZA 1 - OSLO MARATHON'!$A$5:$A$99,"&lt;"&amp;EDATE($G35,1),'FAZA 1 - OSLO MARATHON'!$M$5:$M$99,"&gt;=3")+COUNTIFS('FAZA 2 - IRONMAN 70.3 POZNAŃ'!$A$5:$A$361,"&gt;="&amp;$G35,'FAZA 2 - IRONMAN 70.3 POZNAŃ'!$A$5:$A$361,"&lt;"&amp;EDATE($G35,1),'FAZA 2 - IRONMAN 70.3 POZNAŃ'!$M$5:$M$361,"&gt;=3")</x:f>
        <x:v>0</x:v>
      </x:c>
      <x:c r="L35" s="212" t="n">
        <x:f>COUNTIFS('FAZA 1 - OSLO MARATHON'!$A$5:$A$99,"&gt;="&amp;$G35,'FAZA 1 - OSLO MARATHON'!$A$5:$A$99,"&lt;"&amp;EDATE($G35,1),'FAZA 1 - OSLO MARATHON'!$M$5:$M$99,"&gt;=5")+COUNTIFS('FAZA 2 - IRONMAN 70.3 POZNAŃ'!$A$5:$A$361,"&gt;="&amp;$G35,'FAZA 2 - IRONMAN 70.3 POZNAŃ'!$A$5:$A$361,"&lt;"&amp;EDATE($G35,1),'FAZA 2 - IRONMAN 70.3 POZNAŃ'!$M$5:$M$361,"&gt;=5")</x:f>
        <x:v>0</x:v>
      </x:c>
      <x:c r="M35" s="213" t="str">
        <x:f>IFERROR((SUMIFS('FAZA 1 - OSLO MARATHON'!$N$5:$N$99,'FAZA 1 - OSLO MARATHON'!$A$5:$A$99,"&gt;="&amp;$G35,'FAZA 1 - OSLO MARATHON'!$A$5:$A$99,"&lt;"&amp;EDATE($G35,1))+SUMIFS('FAZA 2 - IRONMAN 70.3 POZNAŃ'!$N$5:$N$361,'FAZA 2 - IRONMAN 70.3 POZNAŃ'!$A$5:$A$361,"&gt;="&amp;$G35,'FAZA 2 - IRONMAN 70.3 POZNAŃ'!$A$5:$A$361,"&lt;"&amp;EDATE($G35,1)))/(COUNTIFS('FAZA 1 - OSLO MARATHON'!$A$5:$A$99,"&gt;="&amp;$G35,'FAZA 1 - OSLO MARATHON'!$A$5:$A$99,"&lt;"&amp;EDATE($G35,1),'FAZA 1 - OSLO MARATHON'!$N$5:$N$99,"&gt;0")+COUNTIFS('FAZA 2 - IRONMAN 70.3 POZNAŃ'!$A$5:$A$361,"&gt;="&amp;$G35,'FAZA 2 - IRONMAN 70.3 POZNAŃ'!$A$5:$A$361,"&lt;"&amp;EDATE($G35,1),'FAZA 2 - IRONMAN 70.3 POZNAŃ'!$N$5:$N$361,"&gt;0")),"")</x:f>
      </x:c>
      <x:c r="N35" s="212" t="n">
        <x:f>COUNTIFS('FAZA 1 - OSLO MARATHON'!$A$5:$A$99,"&gt;="&amp;$G35,'FAZA 1 - OSLO MARATHON'!$A$5:$A$99,"&lt;"&amp;EDATE($G35,1),'FAZA 1 - OSLO MARATHON'!$O$5:$O$99,"&lt;&gt;")+COUNTIFS('FAZA 2 - IRONMAN 70.3 POZNAŃ'!$A$5:$A$361,"&gt;="&amp;$G35,'FAZA 2 - IRONMAN 70.3 POZNAŃ'!$A$5:$A$361,"&lt;"&amp;EDATE($G35,1),'FAZA 2 - IRONMAN 70.3 POZNAŃ'!$O$5:$O$361,"&lt;&gt;")</x:f>
        <x:v>0</x:v>
      </x:c>
      <x:c r="O35" s="204" t="str">
        <x:f>IF(L35&gt;=1,"CZERWONY",IF(K35&gt;=4,"POMARAŃCZOWY",IF(AND(ISNUMBER(I35),I35&gt;=6.5,ISNUMBER(M35),M35&lt;6),"ŻÓŁTY",IF(H35=0,"BRAK DANYCH","ZIELONY"))))</x:f>
        <x:v>BRAK DANYCH</x:v>
      </x:c>
    </x:row>
    <x:row r="36" ht="22" customHeight="1">
      <x:c r="G36" s="200" t="n">
        <x:v>46600</x:v>
      </x:c>
      <x:c r="H36" s="212" t="n">
        <x:f>COUNTIFS('FAZA 1 - OSLO MARATHON'!$A$5:$A$99,"&gt;="&amp;$G36,'FAZA 1 - OSLO MARATHON'!$A$5:$A$99,"&lt;"&amp;EDATE($G36,1),'FAZA 1 - OSLO MARATHON'!$L$5:$L$99,"&gt;0")+COUNTIFS('FAZA 2 - IRONMAN 70.3 POZNAŃ'!$A$5:$A$361,"&gt;="&amp;$G36,'FAZA 2 - IRONMAN 70.3 POZNAŃ'!$A$5:$A$361,"&lt;"&amp;EDATE($G36,1),'FAZA 2 - IRONMAN 70.3 POZNAŃ'!$L$5:$L$361,"&gt;0")</x:f>
        <x:v>0</x:v>
      </x:c>
      <x:c r="I36" s="213" t="str">
        <x:f>IFERROR((SUMIFS('FAZA 1 - OSLO MARATHON'!$L$5:$L$99,'FAZA 1 - OSLO MARATHON'!$A$5:$A$99,"&gt;="&amp;$G36,'FAZA 1 - OSLO MARATHON'!$A$5:$A$99,"&lt;"&amp;EDATE($G36,1))+SUMIFS('FAZA 2 - IRONMAN 70.3 POZNAŃ'!$L$5:$L$361,'FAZA 2 - IRONMAN 70.3 POZNAŃ'!$A$5:$A$361,"&gt;="&amp;$G36,'FAZA 2 - IRONMAN 70.3 POZNAŃ'!$A$5:$A$361,"&lt;"&amp;EDATE($G36,1)))/(COUNTIFS('FAZA 1 - OSLO MARATHON'!$A$5:$A$99,"&gt;="&amp;$G36,'FAZA 1 - OSLO MARATHON'!$A$5:$A$99,"&lt;"&amp;EDATE($G36,1),'FAZA 1 - OSLO MARATHON'!$L$5:$L$99,"&gt;0")+COUNTIFS('FAZA 2 - IRONMAN 70.3 POZNAŃ'!$A$5:$A$361,"&gt;="&amp;$G36,'FAZA 2 - IRONMAN 70.3 POZNAŃ'!$A$5:$A$361,"&lt;"&amp;EDATE($G36,1),'FAZA 2 - IRONMAN 70.3 POZNAŃ'!$L$5:$L$361,"&gt;0")),"")</x:f>
      </x:c>
      <x:c r="J36" s="213" t="str">
        <x:f>IFERROR((SUMIFS('FAZA 1 - OSLO MARATHON'!$M$5:$M$99,'FAZA 1 - OSLO MARATHON'!$A$5:$A$99,"&gt;="&amp;$G36,'FAZA 1 - OSLO MARATHON'!$A$5:$A$99,"&lt;"&amp;EDATE($G36,1))+SUMIFS('FAZA 2 - IRONMAN 70.3 POZNAŃ'!$M$5:$M$361,'FAZA 2 - IRONMAN 70.3 POZNAŃ'!$A$5:$A$361,"&gt;="&amp;$G36,'FAZA 2 - IRONMAN 70.3 POZNAŃ'!$A$5:$A$361,"&lt;"&amp;EDATE($G36,1)))/(COUNTIFS('FAZA 1 - OSLO MARATHON'!$A$5:$A$99,"&gt;="&amp;$G36,'FAZA 1 - OSLO MARATHON'!$A$5:$A$99,"&lt;"&amp;EDATE($G36,1),'FAZA 1 - OSLO MARATHON'!$M$5:$M$99,"&gt;=0",'FAZA 1 - OSLO MARATHON'!$M$5:$M$99,"&lt;&gt;")+COUNTIFS('FAZA 2 - IRONMAN 70.3 POZNAŃ'!$A$5:$A$361,"&gt;="&amp;$G36,'FAZA 2 - IRONMAN 70.3 POZNAŃ'!$A$5:$A$361,"&lt;"&amp;EDATE($G36,1),'FAZA 2 - IRONMAN 70.3 POZNAŃ'!$M$5:$M$361,"&gt;=0",'FAZA 2 - IRONMAN 70.3 POZNAŃ'!$M$5:$M$361,"&lt;&gt;")),"")</x:f>
      </x:c>
      <x:c r="K36" s="212" t="n">
        <x:f>COUNTIFS('FAZA 1 - OSLO MARATHON'!$A$5:$A$99,"&gt;="&amp;$G36,'FAZA 1 - OSLO MARATHON'!$A$5:$A$99,"&lt;"&amp;EDATE($G36,1),'FAZA 1 - OSLO MARATHON'!$M$5:$M$99,"&gt;=3")+COUNTIFS('FAZA 2 - IRONMAN 70.3 POZNAŃ'!$A$5:$A$361,"&gt;="&amp;$G36,'FAZA 2 - IRONMAN 70.3 POZNAŃ'!$A$5:$A$361,"&lt;"&amp;EDATE($G36,1),'FAZA 2 - IRONMAN 70.3 POZNAŃ'!$M$5:$M$361,"&gt;=3")</x:f>
        <x:v>0</x:v>
      </x:c>
      <x:c r="L36" s="212" t="n">
        <x:f>COUNTIFS('FAZA 1 - OSLO MARATHON'!$A$5:$A$99,"&gt;="&amp;$G36,'FAZA 1 - OSLO MARATHON'!$A$5:$A$99,"&lt;"&amp;EDATE($G36,1),'FAZA 1 - OSLO MARATHON'!$M$5:$M$99,"&gt;=5")+COUNTIFS('FAZA 2 - IRONMAN 70.3 POZNAŃ'!$A$5:$A$361,"&gt;="&amp;$G36,'FAZA 2 - IRONMAN 70.3 POZNAŃ'!$A$5:$A$361,"&lt;"&amp;EDATE($G36,1),'FAZA 2 - IRONMAN 70.3 POZNAŃ'!$M$5:$M$361,"&gt;=5")</x:f>
        <x:v>0</x:v>
      </x:c>
      <x:c r="M36" s="213" t="str">
        <x:f>IFERROR((SUMIFS('FAZA 1 - OSLO MARATHON'!$N$5:$N$99,'FAZA 1 - OSLO MARATHON'!$A$5:$A$99,"&gt;="&amp;$G36,'FAZA 1 - OSLO MARATHON'!$A$5:$A$99,"&lt;"&amp;EDATE($G36,1))+SUMIFS('FAZA 2 - IRONMAN 70.3 POZNAŃ'!$N$5:$N$361,'FAZA 2 - IRONMAN 70.3 POZNAŃ'!$A$5:$A$361,"&gt;="&amp;$G36,'FAZA 2 - IRONMAN 70.3 POZNAŃ'!$A$5:$A$361,"&lt;"&amp;EDATE($G36,1)))/(COUNTIFS('FAZA 1 - OSLO MARATHON'!$A$5:$A$99,"&gt;="&amp;$G36,'FAZA 1 - OSLO MARATHON'!$A$5:$A$99,"&lt;"&amp;EDATE($G36,1),'FAZA 1 - OSLO MARATHON'!$N$5:$N$99,"&gt;0")+COUNTIFS('FAZA 2 - IRONMAN 70.3 POZNAŃ'!$A$5:$A$361,"&gt;="&amp;$G36,'FAZA 2 - IRONMAN 70.3 POZNAŃ'!$A$5:$A$361,"&lt;"&amp;EDATE($G36,1),'FAZA 2 - IRONMAN 70.3 POZNAŃ'!$N$5:$N$361,"&gt;0")),"")</x:f>
      </x:c>
      <x:c r="N36" s="212" t="n">
        <x:f>COUNTIFS('FAZA 1 - OSLO MARATHON'!$A$5:$A$99,"&gt;="&amp;$G36,'FAZA 1 - OSLO MARATHON'!$A$5:$A$99,"&lt;"&amp;EDATE($G36,1),'FAZA 1 - OSLO MARATHON'!$O$5:$O$99,"&lt;&gt;")+COUNTIFS('FAZA 2 - IRONMAN 70.3 POZNAŃ'!$A$5:$A$361,"&gt;="&amp;$G36,'FAZA 2 - IRONMAN 70.3 POZNAŃ'!$A$5:$A$361,"&lt;"&amp;EDATE($G36,1),'FAZA 2 - IRONMAN 70.3 POZNAŃ'!$O$5:$O$361,"&lt;&gt;")</x:f>
        <x:v>0</x:v>
      </x:c>
      <x:c r="O36" s="204" t="str">
        <x:f>IF(L36&gt;=1,"CZERWONY",IF(K36&gt;=4,"POMARAŃCZOWY",IF(AND(ISNUMBER(I36),I36&gt;=6.5,ISNUMBER(M36),M36&lt;6),"ŻÓŁTY",IF(H36=0,"BRAK DANYCH","ZIELONY"))))</x:f>
        <x:v>BRAK DANYCH</x:v>
      </x:c>
    </x:row>
    <x:row r="37" ht="22" customHeight="1">
      <x:c r="G37" s="200" t="n">
        <x:v>46631</x:v>
      </x:c>
      <x:c r="H37" s="212" t="n">
        <x:f>COUNTIFS('FAZA 1 - OSLO MARATHON'!$A$5:$A$99,"&gt;="&amp;$G37,'FAZA 1 - OSLO MARATHON'!$A$5:$A$99,"&lt;"&amp;EDATE($G37,1),'FAZA 1 - OSLO MARATHON'!$L$5:$L$99,"&gt;0")+COUNTIFS('FAZA 2 - IRONMAN 70.3 POZNAŃ'!$A$5:$A$361,"&gt;="&amp;$G37,'FAZA 2 - IRONMAN 70.3 POZNAŃ'!$A$5:$A$361,"&lt;"&amp;EDATE($G37,1),'FAZA 2 - IRONMAN 70.3 POZNAŃ'!$L$5:$L$361,"&gt;0")</x:f>
        <x:v>0</x:v>
      </x:c>
      <x:c r="I37" s="213" t="str">
        <x:f>IFERROR((SUMIFS('FAZA 1 - OSLO MARATHON'!$L$5:$L$99,'FAZA 1 - OSLO MARATHON'!$A$5:$A$99,"&gt;="&amp;$G37,'FAZA 1 - OSLO MARATHON'!$A$5:$A$99,"&lt;"&amp;EDATE($G37,1))+SUMIFS('FAZA 2 - IRONMAN 70.3 POZNAŃ'!$L$5:$L$361,'FAZA 2 - IRONMAN 70.3 POZNAŃ'!$A$5:$A$361,"&gt;="&amp;$G37,'FAZA 2 - IRONMAN 70.3 POZNAŃ'!$A$5:$A$361,"&lt;"&amp;EDATE($G37,1)))/(COUNTIFS('FAZA 1 - OSLO MARATHON'!$A$5:$A$99,"&gt;="&amp;$G37,'FAZA 1 - OSLO MARATHON'!$A$5:$A$99,"&lt;"&amp;EDATE($G37,1),'FAZA 1 - OSLO MARATHON'!$L$5:$L$99,"&gt;0")+COUNTIFS('FAZA 2 - IRONMAN 70.3 POZNAŃ'!$A$5:$A$361,"&gt;="&amp;$G37,'FAZA 2 - IRONMAN 70.3 POZNAŃ'!$A$5:$A$361,"&lt;"&amp;EDATE($G37,1),'FAZA 2 - IRONMAN 70.3 POZNAŃ'!$L$5:$L$361,"&gt;0")),"")</x:f>
      </x:c>
      <x:c r="J37" s="213" t="str">
        <x:f>IFERROR((SUMIFS('FAZA 1 - OSLO MARATHON'!$M$5:$M$99,'FAZA 1 - OSLO MARATHON'!$A$5:$A$99,"&gt;="&amp;$G37,'FAZA 1 - OSLO MARATHON'!$A$5:$A$99,"&lt;"&amp;EDATE($G37,1))+SUMIFS('FAZA 2 - IRONMAN 70.3 POZNAŃ'!$M$5:$M$361,'FAZA 2 - IRONMAN 70.3 POZNAŃ'!$A$5:$A$361,"&gt;="&amp;$G37,'FAZA 2 - IRONMAN 70.3 POZNAŃ'!$A$5:$A$361,"&lt;"&amp;EDATE($G37,1)))/(COUNTIFS('FAZA 1 - OSLO MARATHON'!$A$5:$A$99,"&gt;="&amp;$G37,'FAZA 1 - OSLO MARATHON'!$A$5:$A$99,"&lt;"&amp;EDATE($G37,1),'FAZA 1 - OSLO MARATHON'!$M$5:$M$99,"&gt;=0",'FAZA 1 - OSLO MARATHON'!$M$5:$M$99,"&lt;&gt;")+COUNTIFS('FAZA 2 - IRONMAN 70.3 POZNAŃ'!$A$5:$A$361,"&gt;="&amp;$G37,'FAZA 2 - IRONMAN 70.3 POZNAŃ'!$A$5:$A$361,"&lt;"&amp;EDATE($G37,1),'FAZA 2 - IRONMAN 70.3 POZNAŃ'!$M$5:$M$361,"&gt;=0",'FAZA 2 - IRONMAN 70.3 POZNAŃ'!$M$5:$M$361,"&lt;&gt;")),"")</x:f>
      </x:c>
      <x:c r="K37" s="212" t="n">
        <x:f>COUNTIFS('FAZA 1 - OSLO MARATHON'!$A$5:$A$99,"&gt;="&amp;$G37,'FAZA 1 - OSLO MARATHON'!$A$5:$A$99,"&lt;"&amp;EDATE($G37,1),'FAZA 1 - OSLO MARATHON'!$M$5:$M$99,"&gt;=3")+COUNTIFS('FAZA 2 - IRONMAN 70.3 POZNAŃ'!$A$5:$A$361,"&gt;="&amp;$G37,'FAZA 2 - IRONMAN 70.3 POZNAŃ'!$A$5:$A$361,"&lt;"&amp;EDATE($G37,1),'FAZA 2 - IRONMAN 70.3 POZNAŃ'!$M$5:$M$361,"&gt;=3")</x:f>
        <x:v>0</x:v>
      </x:c>
      <x:c r="L37" s="212" t="n">
        <x:f>COUNTIFS('FAZA 1 - OSLO MARATHON'!$A$5:$A$99,"&gt;="&amp;$G37,'FAZA 1 - OSLO MARATHON'!$A$5:$A$99,"&lt;"&amp;EDATE($G37,1),'FAZA 1 - OSLO MARATHON'!$M$5:$M$99,"&gt;=5")+COUNTIFS('FAZA 2 - IRONMAN 70.3 POZNAŃ'!$A$5:$A$361,"&gt;="&amp;$G37,'FAZA 2 - IRONMAN 70.3 POZNAŃ'!$A$5:$A$361,"&lt;"&amp;EDATE($G37,1),'FAZA 2 - IRONMAN 70.3 POZNAŃ'!$M$5:$M$361,"&gt;=5")</x:f>
        <x:v>0</x:v>
      </x:c>
      <x:c r="M37" s="213" t="str">
        <x:f>IFERROR((SUMIFS('FAZA 1 - OSLO MARATHON'!$N$5:$N$99,'FAZA 1 - OSLO MARATHON'!$A$5:$A$99,"&gt;="&amp;$G37,'FAZA 1 - OSLO MARATHON'!$A$5:$A$99,"&lt;"&amp;EDATE($G37,1))+SUMIFS('FAZA 2 - IRONMAN 70.3 POZNAŃ'!$N$5:$N$361,'FAZA 2 - IRONMAN 70.3 POZNAŃ'!$A$5:$A$361,"&gt;="&amp;$G37,'FAZA 2 - IRONMAN 70.3 POZNAŃ'!$A$5:$A$361,"&lt;"&amp;EDATE($G37,1)))/(COUNTIFS('FAZA 1 - OSLO MARATHON'!$A$5:$A$99,"&gt;="&amp;$G37,'FAZA 1 - OSLO MARATHON'!$A$5:$A$99,"&lt;"&amp;EDATE($G37,1),'FAZA 1 - OSLO MARATHON'!$N$5:$N$99,"&gt;0")+COUNTIFS('FAZA 2 - IRONMAN 70.3 POZNAŃ'!$A$5:$A$361,"&gt;="&amp;$G37,'FAZA 2 - IRONMAN 70.3 POZNAŃ'!$A$5:$A$361,"&lt;"&amp;EDATE($G37,1),'FAZA 2 - IRONMAN 70.3 POZNAŃ'!$N$5:$N$361,"&gt;0")),"")</x:f>
      </x:c>
      <x:c r="N37" s="212" t="n">
        <x:f>COUNTIFS('FAZA 1 - OSLO MARATHON'!$A$5:$A$99,"&gt;="&amp;$G37,'FAZA 1 - OSLO MARATHON'!$A$5:$A$99,"&lt;"&amp;EDATE($G37,1),'FAZA 1 - OSLO MARATHON'!$O$5:$O$99,"&lt;&gt;")+COUNTIFS('FAZA 2 - IRONMAN 70.3 POZNAŃ'!$A$5:$A$361,"&gt;="&amp;$G37,'FAZA 2 - IRONMAN 70.3 POZNAŃ'!$A$5:$A$361,"&lt;"&amp;EDATE($G37,1),'FAZA 2 - IRONMAN 70.3 POZNAŃ'!$O$5:$O$361,"&lt;&gt;")</x:f>
        <x:v>0</x:v>
      </x:c>
      <x:c r="O37" s="204" t="str">
        <x:f>IF(L37&gt;=1,"CZERWONY",IF(K37&gt;=4,"POMARAŃCZOWY",IF(AND(ISNUMBER(I37),I37&gt;=6.5,ISNUMBER(M37),M37&lt;6),"ŻÓŁTY",IF(H37=0,"BRAK DANYCH","ZIELONY"))))</x:f>
        <x:v>BRAK DANYCH</x:v>
      </x:c>
    </x:row>
  </x:sheetData>
  <x:mergeCells>
    <x:mergeCell ref="A1:E1"/>
    <x:mergeCell ref="G1:O1"/>
    <x:mergeCell ref="G2:O2"/>
    <x:mergeCell ref="G19:O19"/>
    <x:mergeCell ref="K4:O4"/>
  </x:mergeCells>
  <x:conditionalFormatting sqref="H16:H16">
    <x:cfRule type="expression" dxfId="21" priority="1">
      <x:formula>LEFT(H16,8)="CZERWONY"</x:formula>
    </x:cfRule>
    <x:cfRule type="expression" dxfId="22" priority="2">
      <x:formula>LEFT(H16,12)="POMARAŃCZOWY"</x:formula>
    </x:cfRule>
    <x:cfRule type="expression" dxfId="23" priority="3">
      <x:formula>LEFT(H16,5)="ŻÓŁTY"</x:formula>
    </x:cfRule>
    <x:cfRule type="expression" dxfId="24" priority="4">
      <x:formula>LEFT(H16,7)="ZIELONY"</x:formula>
    </x:cfRule>
  </x:conditionalFormatting>
  <x:conditionalFormatting sqref="O22:O37">
    <x:cfRule type="expression" dxfId="25" priority="5">
      <x:formula>O22="CZERWONY"</x:formula>
    </x:cfRule>
    <x:cfRule type="expression" dxfId="26" priority="6">
      <x:formula>O22="POMARAŃCZOWY"</x:formula>
    </x:cfRule>
    <x:cfRule type="expression" dxfId="27" priority="7">
      <x:formula>O22="ŻÓŁTY"</x:formula>
    </x:cfRule>
    <x:cfRule type="expression" dxfId="28" priority="8">
      <x:formula>O22="ZIELONY"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5a87b52bcbc474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8" hidden="0" customWidth="1"/>
    <x:col min="4" max="4" width="18" hidden="0" customWidth="1"/>
    <x:col min="5" max="5" width="10" hidden="0" customWidth="1"/>
    <x:col min="6" max="6" width="10" hidden="0" customWidth="1"/>
    <x:col min="7" max="7" width="10" hidden="0" customWidth="1"/>
    <x:col min="8" max="8" width="18" hidden="0" customWidth="1"/>
  </x:cols>
  <x:sheetData>
    <x:row r="1">
      <x:c r="A1" s="115" t="str">
        <x:v>MAPA OBCIĄŻEŃ: LONG RUN, ROWER, T2, FTP, OPEN WATER</x:v>
      </x:c>
      <x:c r="B1" s="115"/>
      <x:c r="C1" s="115"/>
      <x:c r="D1" s="115"/>
      <x:c r="E1" s="115"/>
      <x:c r="F1" s="115"/>
      <x:c r="G1" s="115"/>
      <x:c r="H1" s="115"/>
      <x:c r="I1" s="31"/>
      <x:c r="J1" s="31"/>
      <x:c r="K1" s="31"/>
      <x:c r="L1" s="31"/>
      <x:c r="M1" s="31"/>
      <x:c r="N1" s="31"/>
      <x:c r="O1" s="31"/>
      <x:c r="P1" s="31"/>
      <x:c r="Q1" s="31"/>
    </x:row>
    <x:row r="3">
      <x:c r="A3" s="119" t="str">
        <x:v>Data tygodnia</x:v>
      </x:c>
      <x:c r="B3" s="119" t="str">
        <x:v>Tydzień</x:v>
      </x:c>
      <x:c r="C3" s="119" t="str">
        <x:v>Długi bieg / test km</x:v>
      </x:c>
      <x:c r="D3" s="119" t="str">
        <x:v>Typ</x:v>
      </x:c>
      <x:c r="E3" s="119" t="str">
        <x:v>Opis</x:v>
      </x:c>
      <x:c r="F3" s="119"/>
      <x:c r="G3" s="119"/>
      <x:c r="H3" s="119"/>
    </x:row>
    <x:row r="4">
      <x:c r="A4" s="122" t="n">
        <x:v>46188</x:v>
      </x:c>
      <x:c r="B4" s="119" t="str">
        <x:v>T-13</x:v>
      </x:c>
      <x:c r="C4" s="119" t="n">
        <x:v>18</x:v>
      </x:c>
      <x:c r="D4" s="119" t="str">
        <x:v>Bieg long easy</x:v>
      </x:c>
      <x:c r="E4" s="119" t="str">
        <x:v>18 km spokojnie 5:35-5:55/km. Test 1 żel/napój po 40 min. Bez MP.</x:v>
      </x:c>
      <x:c r="F4" s="119"/>
      <x:c r="G4" s="119"/>
      <x:c r="H4" s="119"/>
    </x:row>
    <x:row r="5">
      <x:c r="A5" s="22" t="n">
        <x:v>46195</x:v>
      </x:c>
      <x:c r="B5" s="23" t="str">
        <x:v>T-12</x:v>
      </x:c>
      <x:c r="C5" s="23" t="n">
        <x:v>22</x:v>
      </x:c>
      <x:c r="D5" s="23" t="str">
        <x:v>Bieg long easy</x:v>
      </x:c>
      <x:c r="E5" s="23" t="str">
        <x:v>22 km easy 5:35-5:55/km, ostatnie 3 km steady tylko jeśli lekko.</x:v>
      </x:c>
      <x:c r="F5" s="23"/>
      <x:c r="G5" s="23"/>
      <x:c r="H5" s="23"/>
    </x:row>
    <x:row r="6">
      <x:c r="A6" s="22" t="n">
        <x:v>46202</x:v>
      </x:c>
      <x:c r="B6" s="23" t="str">
        <x:v>T-11</x:v>
      </x:c>
      <x:c r="C6" s="23" t="n">
        <x:v>24</x:v>
      </x:c>
      <x:c r="D6" s="23" t="str">
        <x:v>Bieg long z końcówką steady</x:v>
      </x:c>
      <x:c r="E6" s="23" t="str">
        <x:v>24 km: 18 km easy + 6 km steady 5:05-5:15/km. Nie szybciej.</x:v>
      </x:c>
      <x:c r="F6" s="23"/>
      <x:c r="G6" s="23"/>
      <x:c r="H6" s="23"/>
    </x:row>
    <x:row r="7">
      <x:c r="A7" s="22" t="n">
        <x:v>46209</x:v>
      </x:c>
      <x:c r="B7" s="23" t="str">
        <x:v>T-10</x:v>
      </x:c>
      <x:c r="C7" s="23" t="n">
        <x:v>12</x:v>
      </x:c>
      <x:c r="D7" s="23" t="str">
        <x:v>START TESTOWY 10 km / solo TT</x:v>
      </x:c>
      <x:c r="E7" s="23" t="str">
        <x:v>Rozgrzewka 2-3 km + 10 km kontrolnie mocno + 2 km schłodzenia. Cel: ocena formy, nie rekord za wszelką cenę.</x:v>
      </x:c>
      <x:c r="F7" s="23"/>
      <x:c r="G7" s="23"/>
      <x:c r="H7" s="23"/>
    </x:row>
    <x:row r="8">
      <x:c r="A8" s="22" t="n">
        <x:v>46216</x:v>
      </x:c>
      <x:c r="B8" s="23" t="str">
        <x:v>T-9</x:v>
      </x:c>
      <x:c r="C8" s="23" t="n">
        <x:v>26</x:v>
      </x:c>
      <x:c r="D8" s="23" t="str">
        <x:v>Bieg long easy</x:v>
      </x:c>
      <x:c r="E8" s="23" t="str">
        <x:v>26 km easy 5:35-5:55/km. Paliwo co 35-40 min.</x:v>
      </x:c>
      <x:c r="F8" s="23"/>
      <x:c r="G8" s="23"/>
      <x:c r="H8" s="23"/>
    </x:row>
    <x:row r="9">
      <x:c r="A9" s="22" t="n">
        <x:v>46223</x:v>
      </x:c>
      <x:c r="B9" s="23" t="str">
        <x:v>T-8</x:v>
      </x:c>
      <x:c r="C9" s="23" t="n">
        <x:v>28</x:v>
      </x:c>
      <x:c r="D9" s="23" t="str">
        <x:v>Bieg long z MP</x:v>
      </x:c>
      <x:c r="E9" s="23" t="str">
        <x:v>28 km: 8 km easy + 2x5 km MP 4:58-5:02/km / 2 km easy + reszta easy.</x:v>
      </x:c>
      <x:c r="F9" s="23"/>
      <x:c r="G9" s="23"/>
      <x:c r="H9" s="23"/>
    </x:row>
    <x:row r="10">
      <x:c r="A10" s="22" t="n">
        <x:v>46230</x:v>
      </x:c>
      <x:c r="B10" s="23" t="str">
        <x:v>T-7</x:v>
      </x:c>
      <x:c r="C10" s="23" t="n">
        <x:v>21.1</x:v>
      </x:c>
      <x:c r="D10" s="23" t="str">
        <x:v>TEST PÓŁMARATOŃSKI / 21,1 km</x:v>
      </x:c>
      <x:c r="E10" s="23" t="str">
        <x:v>Opcja A: start kontrolny HM 1:42-1:45. Opcja B solo: 3 km easy + 15 km 4:55-5:05/km + 3 km easy. Zastępuje long run.</x:v>
      </x:c>
      <x:c r="F10" s="23"/>
      <x:c r="G10" s="23"/>
      <x:c r="H10" s="23"/>
    </x:row>
    <x:row r="11">
      <x:c r="A11" s="22" t="n">
        <x:v>46237</x:v>
      </x:c>
      <x:c r="B11" s="23" t="str">
        <x:v>T-6</x:v>
      </x:c>
      <x:c r="C11" s="23" t="n">
        <x:v>30</x:v>
      </x:c>
      <x:c r="D11" s="23" t="str">
        <x:v>Bieg long z MP</x:v>
      </x:c>
      <x:c r="E11" s="23" t="str">
        <x:v>30 km: 10 km easy + 10 km MP 4:58-5:02/km + 10 km easy. Test pełnego żywienia.</x:v>
      </x:c>
      <x:c r="F11" s="23"/>
      <x:c r="G11" s="23"/>
      <x:c r="H11" s="23"/>
    </x:row>
    <x:row r="12">
      <x:c r="A12" s="22" t="n">
        <x:v>46244</x:v>
      </x:c>
      <x:c r="B12" s="23" t="str">
        <x:v>T-5</x:v>
      </x:c>
      <x:c r="C12" s="23" t="n">
        <x:v>32</x:v>
      </x:c>
      <x:c r="D12" s="23" t="str">
        <x:v>Bieg najdłuższy</x:v>
      </x:c>
      <x:c r="E12" s="23" t="str">
        <x:v>32 km easy 5:35-5:55/km. Bez ścigania. Najważniejsze: paliwo, stopy, głowa.</x:v>
      </x:c>
      <x:c r="F12" s="23"/>
      <x:c r="G12" s="23"/>
      <x:c r="H12" s="23"/>
    </x:row>
    <x:row r="13">
      <x:c r="A13" s="22" t="n">
        <x:v>46251</x:v>
      </x:c>
      <x:c r="B13" s="23" t="str">
        <x:v>T-4</x:v>
      </x:c>
      <x:c r="C13" s="23" t="n">
        <x:v>26</x:v>
      </x:c>
      <x:c r="D13" s="23" t="str">
        <x:v>Bieg long z MP</x:v>
      </x:c>
      <x:c r="E13" s="23" t="str">
        <x:v>26 km: 10 km easy + 10 km MP 4:58-5:02/km + 6 km easy. Ostatni mocny long.</x:v>
      </x:c>
      <x:c r="F13" s="23"/>
      <x:c r="G13" s="23"/>
      <x:c r="H13" s="23"/>
    </x:row>
    <x:row r="14">
      <x:c r="A14" s="22" t="n">
        <x:v>46258</x:v>
      </x:c>
      <x:c r="B14" s="23" t="str">
        <x:v>T-3</x:v>
      </x:c>
      <x:c r="C14" s="23" t="n">
        <x:v>24</x:v>
      </x:c>
      <x:c r="D14" s="23" t="str">
        <x:v>Bieg long taper</x:v>
      </x:c>
      <x:c r="E14" s="23" t="str">
        <x:v>22-24 km: max 6 km w MP, reszta easy. Nie dokładać.</x:v>
      </x:c>
      <x:c r="F14" s="23"/>
      <x:c r="G14" s="23"/>
      <x:c r="H14" s="23"/>
    </x:row>
    <x:row r="15">
      <x:c r="A15" s="22" t="n">
        <x:v>46265</x:v>
      </x:c>
      <x:c r="B15" s="23" t="str">
        <x:v>T-2</x:v>
      </x:c>
      <x:c r="C15" s="23" t="n">
        <x:v>18</x:v>
      </x:c>
      <x:c r="D15" s="23" t="str">
        <x:v>Bieg long krótki</x:v>
      </x:c>
      <x:c r="E15" s="23" t="str">
        <x:v>16-18 km easy 5:40-6:00/km. Ostatni dłuższy bieg, bez testowania formy.</x:v>
      </x:c>
      <x:c r="F15" s="23"/>
      <x:c r="G15" s="23"/>
      <x:c r="H15" s="23"/>
    </x:row>
    <x:row r="16">
      <x:c r="A16" s="22" t="n">
        <x:v>46272</x:v>
      </x:c>
      <x:c r="B16" s="23" t="str">
        <x:v>T-1</x:v>
      </x:c>
      <x:c r="C16" s="23" t="n">
        <x:v>42.2</x:v>
      </x:c>
      <x:c r="D16" s="23" t="str">
        <x:v>START: OSLO MARATHON</x:v>
      </x:c>
      <x:c r="E16" s="23" t="str">
        <x:v>42,195 km. Cel 3:30 = ok. 4:58/km. Start 5:00-5:03/km, do 30 km kontrola tętna i paliwa.</x:v>
      </x:c>
      <x:c r="F16" s="23"/>
      <x:c r="G16" s="23"/>
      <x:c r="H16" s="23"/>
    </x:row>
    <x:row r="17">
      <x:c r="A17" s="23"/>
      <x:c r="B17" s="23"/>
      <x:c r="C17" s="23"/>
      <x:c r="D17" s="23"/>
      <x:c r="E17" s="23"/>
      <x:c r="F17" s="23"/>
      <x:c r="G17" s="23"/>
      <x:c r="H17" s="23"/>
    </x:row>
    <x:row r="18">
      <x:c r="A18" s="23"/>
      <x:c r="B18" s="23"/>
      <x:c r="C18" s="23"/>
      <x:c r="D18" s="23"/>
      <x:c r="E18" s="23"/>
      <x:c r="F18" s="23"/>
      <x:c r="G18" s="23"/>
      <x:c r="H18" s="23"/>
    </x:row>
    <x:row r="19">
      <x:c r="A19" s="23"/>
      <x:c r="B19" s="23"/>
      <x:c r="C19" s="23"/>
      <x:c r="D19" s="23"/>
      <x:c r="E19" s="23"/>
      <x:c r="F19" s="23"/>
      <x:c r="G19" s="23"/>
      <x:c r="H19" s="23"/>
    </x:row>
    <x:row r="20">
      <x:c r="A20" s="119" t="str">
        <x:v>Tydzień</x:v>
      </x:c>
      <x:c r="B20" s="119" t="str">
        <x:v>Data tygodnia</x:v>
      </x:c>
      <x:c r="C20" s="119" t="str">
        <x:v>Faza</x:v>
      </x:c>
      <x:c r="D20" s="119" t="str">
        <x:v>Długi rower min / test</x:v>
      </x:c>
      <x:c r="E20" s="119" t="str">
        <x:v>T2 km</x:v>
      </x:c>
      <x:c r="F20" s="119" t="str">
        <x:v>Deload</x:v>
      </x:c>
      <x:c r="G20" s="119" t="str">
        <x:v>FTP / test</x:v>
      </x:c>
      <x:c r="H20" s="119" t="str">
        <x:v>Open water / uwagi</x:v>
      </x:c>
    </x:row>
    <x:row r="21">
      <x:c r="A21" s="23" t="n">
        <x:v>1</x:v>
      </x:c>
      <x:c r="B21" s="22" t="n">
        <x:v>46279</x:v>
      </x:c>
      <x:c r="C21" s="23" t="str">
        <x:v>Przejście po Oslo / regeneracja</x:v>
      </x:c>
      <x:c r="D21" s="23" t="n">
        <x:v>45</x:v>
      </x:c>
      <x:c r="E21" s="23" t="str"/>
      <x:c r="F21" s="23"/>
      <x:c r="G21" s="23"/>
      <x:c r="H21" s="23"/>
    </x:row>
    <x:row r="22">
      <x:c r="A22" s="23" t="n">
        <x:v>2</x:v>
      </x:c>
      <x:c r="B22" s="22" t="n">
        <x:v>46286</x:v>
      </x:c>
      <x:c r="C22" s="23" t="str">
        <x:v>Przejście po Oslo / regeneracja</x:v>
      </x:c>
      <x:c r="D22" s="23" t="n">
        <x:v>60</x:v>
      </x:c>
      <x:c r="E22" s="23" t="str"/>
      <x:c r="F22" s="23"/>
      <x:c r="G22" s="23"/>
      <x:c r="H22" s="23"/>
    </x:row>
    <x:row r="23">
      <x:c r="A23" s="23" t="n">
        <x:v>3</x:v>
      </x:c>
      <x:c r="B23" s="22" t="n">
        <x:v>46293</x:v>
      </x:c>
      <x:c r="C23" s="23" t="str">
        <x:v>Przejście po Oslo / regeneracja</x:v>
      </x:c>
      <x:c r="D23" s="23" t="n">
        <x:v>75</x:v>
      </x:c>
      <x:c r="E23" s="23" t="str"/>
      <x:c r="F23" s="23"/>
      <x:c r="G23" s="23"/>
      <x:c r="H23" s="23"/>
    </x:row>
    <x:row r="24">
      <x:c r="A24" s="23" t="n">
        <x:v>4</x:v>
      </x:c>
      <x:c r="B24" s="22" t="n">
        <x:v>46300</x:v>
      </x:c>
      <x:c r="C24" s="23" t="str">
        <x:v>Baza 1</x:v>
      </x:c>
      <x:c r="D24" s="23" t="n">
        <x:v>90</x:v>
      </x:c>
      <x:c r="E24" s="23" t="n">
        <x:v>2</x:v>
      </x:c>
      <x:c r="F24" s="23"/>
      <x:c r="G24" s="23" t="str">
        <x:v>FTP</x:v>
      </x:c>
      <x:c r="H24" s="23"/>
    </x:row>
    <x:row r="25">
      <x:c r="A25" s="23" t="n">
        <x:v>5</x:v>
      </x:c>
      <x:c r="B25" s="22" t="n">
        <x:v>46307</x:v>
      </x:c>
      <x:c r="C25" s="23" t="str">
        <x:v>Baza 1</x:v>
      </x:c>
      <x:c r="D25" s="23" t="n">
        <x:v>120</x:v>
      </x:c>
      <x:c r="E25" s="23" t="n">
        <x:v>3</x:v>
      </x:c>
      <x:c r="F25" s="23"/>
      <x:c r="G25" s="23"/>
      <x:c r="H25" s="23"/>
    </x:row>
    <x:row r="26">
      <x:c r="A26" s="23" t="n">
        <x:v>6</x:v>
      </x:c>
      <x:c r="B26" s="22" t="n">
        <x:v>46314</x:v>
      </x:c>
      <x:c r="C26" s="23" t="str">
        <x:v>Baza 1</x:v>
      </x:c>
      <x:c r="D26" s="23" t="n">
        <x:v>150</x:v>
      </x:c>
      <x:c r="E26" s="23" t="n">
        <x:v>4</x:v>
      </x:c>
      <x:c r="F26" s="23"/>
      <x:c r="G26" s="23"/>
      <x:c r="H26" s="23"/>
    </x:row>
    <x:row r="27">
      <x:c r="A27" s="23" t="n">
        <x:v>7</x:v>
      </x:c>
      <x:c r="B27" s="22" t="n">
        <x:v>46321</x:v>
      </x:c>
      <x:c r="C27" s="23" t="str">
        <x:v>Baza 1</x:v>
      </x:c>
      <x:c r="D27" s="23" t="n">
        <x:v>60</x:v>
      </x:c>
      <x:c r="E27" s="23" t="n">
        <x:v>0</x:v>
      </x:c>
      <x:c r="F27" s="23" t="str">
        <x:v>TAK</x:v>
      </x:c>
      <x:c r="G27" s="23"/>
      <x:c r="H27" s="23"/>
    </x:row>
    <x:row r="28">
      <x:c r="A28" s="23" t="n">
        <x:v>8</x:v>
      </x:c>
      <x:c r="B28" s="22" t="n">
        <x:v>46328</x:v>
      </x:c>
      <x:c r="C28" s="23" t="str">
        <x:v>Baza 1</x:v>
      </x:c>
      <x:c r="D28" s="23" t="n">
        <x:v>130</x:v>
      </x:c>
      <x:c r="E28" s="23" t="n">
        <x:v>4</x:v>
      </x:c>
      <x:c r="F28" s="23"/>
      <x:c r="G28" s="23"/>
      <x:c r="H28" s="23"/>
    </x:row>
    <x:row r="29">
      <x:c r="A29" s="23" t="n">
        <x:v>9</x:v>
      </x:c>
      <x:c r="B29" s="22" t="n">
        <x:v>46335</x:v>
      </x:c>
      <x:c r="C29" s="23" t="str">
        <x:v>Baza 1</x:v>
      </x:c>
      <x:c r="D29" s="23" t="n">
        <x:v>150</x:v>
      </x:c>
      <x:c r="E29" s="23" t="n">
        <x:v>5</x:v>
      </x:c>
      <x:c r="F29" s="23"/>
      <x:c r="G29" s="23"/>
      <x:c r="H29" s="23"/>
    </x:row>
    <x:row r="30">
      <x:c r="A30" s="23" t="n">
        <x:v>10</x:v>
      </x:c>
      <x:c r="B30" s="22" t="n">
        <x:v>46342</x:v>
      </x:c>
      <x:c r="C30" s="23" t="str">
        <x:v>Baza 1</x:v>
      </x:c>
      <x:c r="D30" s="23" t="n">
        <x:v>170</x:v>
      </x:c>
      <x:c r="E30" s="23" t="n">
        <x:v>6</x:v>
      </x:c>
      <x:c r="F30" s="23"/>
      <x:c r="G30" s="23"/>
      <x:c r="H30" s="23"/>
    </x:row>
    <x:row r="31">
      <x:c r="A31" s="23" t="n">
        <x:v>11</x:v>
      </x:c>
      <x:c r="B31" s="22" t="n">
        <x:v>46349</x:v>
      </x:c>
      <x:c r="C31" s="23" t="str">
        <x:v>Baza 1</x:v>
      </x:c>
      <x:c r="D31" s="23" t="n">
        <x:v>60</x:v>
      </x:c>
      <x:c r="E31" s="23" t="n">
        <x:v>0</x:v>
      </x:c>
      <x:c r="F31" s="23" t="str">
        <x:v>TAK</x:v>
      </x:c>
      <x:c r="G31" s="23"/>
      <x:c r="H31" s="23"/>
    </x:row>
    <x:row r="32">
      <x:c r="A32" s="23" t="n">
        <x:v>12</x:v>
      </x:c>
      <x:c r="B32" s="22" t="n">
        <x:v>46356</x:v>
      </x:c>
      <x:c r="C32" s="23" t="str">
        <x:v>Baza 2 / siła</x:v>
      </x:c>
      <x:c r="D32" s="23" t="n">
        <x:v>120</x:v>
      </x:c>
      <x:c r="E32" s="23" t="n">
        <x:v>4</x:v>
      </x:c>
      <x:c r="F32" s="23"/>
      <x:c r="G32" s="23" t="str">
        <x:v>FTP</x:v>
      </x:c>
      <x:c r="H32" s="23"/>
    </x:row>
    <x:row r="33">
      <x:c r="A33" s="23" t="n">
        <x:v>13</x:v>
      </x:c>
      <x:c r="B33" s="22" t="n">
        <x:v>46363</x:v>
      </x:c>
      <x:c r="C33" s="23" t="str">
        <x:v>Baza 2 / siła</x:v>
      </x:c>
      <x:c r="D33" s="23" t="n">
        <x:v>150</x:v>
      </x:c>
      <x:c r="E33" s="23" t="n">
        <x:v>5</x:v>
      </x:c>
      <x:c r="F33" s="23"/>
      <x:c r="G33" s="23"/>
      <x:c r="H33" s="23"/>
    </x:row>
    <x:row r="34">
      <x:c r="A34" s="23" t="n">
        <x:v>14</x:v>
      </x:c>
      <x:c r="B34" s="22" t="n">
        <x:v>46370</x:v>
      </x:c>
      <x:c r="C34" s="23" t="str">
        <x:v>Baza 2 / siła</x:v>
      </x:c>
      <x:c r="D34" s="23" t="n">
        <x:v>180</x:v>
      </x:c>
      <x:c r="E34" s="23" t="n">
        <x:v>6</x:v>
      </x:c>
      <x:c r="F34" s="23"/>
      <x:c r="G34" s="23"/>
      <x:c r="H34" s="23"/>
    </x:row>
    <x:row r="35">
      <x:c r="A35" s="23" t="n">
        <x:v>15</x:v>
      </x:c>
      <x:c r="B35" s="22" t="n">
        <x:v>46377</x:v>
      </x:c>
      <x:c r="C35" s="23" t="str">
        <x:v>Baza 2 / siła</x:v>
      </x:c>
      <x:c r="D35" s="23" t="n">
        <x:v>60</x:v>
      </x:c>
      <x:c r="E35" s="23" t="n">
        <x:v>0</x:v>
      </x:c>
      <x:c r="F35" s="23" t="str">
        <x:v>TAK</x:v>
      </x:c>
      <x:c r="G35" s="23"/>
      <x:c r="H35" s="23"/>
    </x:row>
    <x:row r="36">
      <x:c r="A36" s="23" t="n">
        <x:v>16</x:v>
      </x:c>
      <x:c r="B36" s="22" t="n">
        <x:v>46384</x:v>
      </x:c>
      <x:c r="C36" s="23" t="str">
        <x:v>Baza 2 / siła</x:v>
      </x:c>
      <x:c r="D36" s="23" t="n">
        <x:v>160</x:v>
      </x:c>
      <x:c r="E36" s="23" t="n">
        <x:v>6</x:v>
      </x:c>
      <x:c r="F36" s="23"/>
      <x:c r="G36" s="23"/>
      <x:c r="H36" s="23"/>
    </x:row>
    <x:row r="37">
      <x:c r="A37" s="23" t="n">
        <x:v>17</x:v>
      </x:c>
      <x:c r="B37" s="22" t="n">
        <x:v>46391</x:v>
      </x:c>
      <x:c r="C37" s="23" t="str">
        <x:v>Baza 2 / siła</x:v>
      </x:c>
      <x:c r="D37" s="23" t="n">
        <x:v>190</x:v>
      </x:c>
      <x:c r="E37" s="23" t="n">
        <x:v>7</x:v>
      </x:c>
      <x:c r="F37" s="23"/>
      <x:c r="G37" s="23"/>
      <x:c r="H37" s="23"/>
    </x:row>
    <x:row r="38">
      <x:c r="A38" s="23" t="n">
        <x:v>18</x:v>
      </x:c>
      <x:c r="B38" s="22" t="n">
        <x:v>46398</x:v>
      </x:c>
      <x:c r="C38" s="23" t="str">
        <x:v>Baza 2 / siła</x:v>
      </x:c>
      <x:c r="D38" s="23" t="n">
        <x:v>210</x:v>
      </x:c>
      <x:c r="E38" s="23" t="n">
        <x:v>8</x:v>
      </x:c>
      <x:c r="F38" s="23"/>
      <x:c r="G38" s="23"/>
      <x:c r="H38" s="23"/>
    </x:row>
    <x:row r="39">
      <x:c r="A39" s="23" t="n">
        <x:v>19</x:v>
      </x:c>
      <x:c r="B39" s="22" t="n">
        <x:v>46405</x:v>
      </x:c>
      <x:c r="C39" s="23" t="str">
        <x:v>Baza 2 / siła</x:v>
      </x:c>
      <x:c r="D39" s="23" t="n">
        <x:v>60</x:v>
      </x:c>
      <x:c r="E39" s="23" t="n">
        <x:v>0</x:v>
      </x:c>
      <x:c r="F39" s="23" t="str">
        <x:v>TAK</x:v>
      </x:c>
      <x:c r="G39" s="23"/>
      <x:c r="H39" s="23"/>
    </x:row>
    <x:row r="40">
      <x:c r="A40" s="23" t="n">
        <x:v>20</x:v>
      </x:c>
      <x:c r="B40" s="22" t="n">
        <x:v>46412</x:v>
      </x:c>
      <x:c r="C40" s="23" t="str">
        <x:v>Build 1</x:v>
      </x:c>
      <x:c r="D40" s="23" t="n">
        <x:v>150</x:v>
      </x:c>
      <x:c r="E40" s="23" t="n">
        <x:v>5</x:v>
      </x:c>
      <x:c r="F40" s="23"/>
      <x:c r="G40" s="23" t="str">
        <x:v>FTP</x:v>
      </x:c>
      <x:c r="H40" s="23"/>
    </x:row>
    <x:row r="41">
      <x:c r="A41" s="23" t="n">
        <x:v>21</x:v>
      </x:c>
      <x:c r="B41" s="22" t="n">
        <x:v>46419</x:v>
      </x:c>
      <x:c r="C41" s="23" t="str">
        <x:v>Build 1</x:v>
      </x:c>
      <x:c r="D41" s="23" t="n">
        <x:v>180</x:v>
      </x:c>
      <x:c r="E41" s="23" t="n">
        <x:v>7</x:v>
      </x:c>
      <x:c r="F41" s="23"/>
      <x:c r="G41" s="23"/>
      <x:c r="H41" s="23"/>
    </x:row>
    <x:row r="42">
      <x:c r="A42" s="23" t="n">
        <x:v>22</x:v>
      </x:c>
      <x:c r="B42" s="22" t="n">
        <x:v>46426</x:v>
      </x:c>
      <x:c r="C42" s="23" t="str">
        <x:v>Build 1</x:v>
      </x:c>
      <x:c r="D42" s="23" t="n">
        <x:v>210</x:v>
      </x:c>
      <x:c r="E42" s="23" t="n">
        <x:v>8</x:v>
      </x:c>
      <x:c r="F42" s="23"/>
      <x:c r="G42" s="23"/>
      <x:c r="H42" s="23"/>
    </x:row>
    <x:row r="43">
      <x:c r="A43" s="23" t="n">
        <x:v>23</x:v>
      </x:c>
      <x:c r="B43" s="22" t="n">
        <x:v>46433</x:v>
      </x:c>
      <x:c r="C43" s="23" t="str">
        <x:v>Build 1</x:v>
      </x:c>
      <x:c r="D43" s="23" t="n">
        <x:v>60</x:v>
      </x:c>
      <x:c r="E43" s="23" t="n">
        <x:v>0</x:v>
      </x:c>
      <x:c r="F43" s="23" t="str">
        <x:v>TAK</x:v>
      </x:c>
      <x:c r="G43" s="23"/>
      <x:c r="H43" s="23"/>
    </x:row>
    <x:row r="44">
      <x:c r="A44" s="23" t="n">
        <x:v>24</x:v>
      </x:c>
      <x:c r="B44" s="22" t="n">
        <x:v>46440</x:v>
      </x:c>
      <x:c r="C44" s="23" t="str">
        <x:v>Build 1</x:v>
      </x:c>
      <x:c r="D44" s="23" t="n">
        <x:v>180</x:v>
      </x:c>
      <x:c r="E44" s="23" t="n">
        <x:v>8</x:v>
      </x:c>
      <x:c r="F44" s="23"/>
      <x:c r="G44" s="23"/>
      <x:c r="H44" s="23"/>
    </x:row>
    <x:row r="45">
      <x:c r="A45" s="23" t="n">
        <x:v>25</x:v>
      </x:c>
      <x:c r="B45" s="22" t="n">
        <x:v>46447</x:v>
      </x:c>
      <x:c r="C45" s="23" t="str">
        <x:v>Build 1</x:v>
      </x:c>
      <x:c r="D45" s="23" t="n">
        <x:v>210</x:v>
      </x:c>
      <x:c r="E45" s="23" t="n">
        <x:v>9</x:v>
      </x:c>
      <x:c r="F45" s="23"/>
      <x:c r="G45" s="23"/>
      <x:c r="H45" s="23"/>
    </x:row>
    <x:row r="46">
      <x:c r="A46" s="23" t="n">
        <x:v>26</x:v>
      </x:c>
      <x:c r="B46" s="22" t="n">
        <x:v>46454</x:v>
      </x:c>
      <x:c r="C46" s="23" t="str">
        <x:v>Build 1</x:v>
      </x:c>
      <x:c r="D46" s="23" t="n">
        <x:v>220</x:v>
      </x:c>
      <x:c r="E46" s="23" t="n">
        <x:v>9</x:v>
      </x:c>
      <x:c r="F46" s="23"/>
      <x:c r="G46" s="23"/>
      <x:c r="H46" s="23"/>
    </x:row>
    <x:row r="47">
      <x:c r="A47" s="23" t="n">
        <x:v>27</x:v>
      </x:c>
      <x:c r="B47" s="22" t="n">
        <x:v>46461</x:v>
      </x:c>
      <x:c r="C47" s="23" t="str">
        <x:v>Build 1</x:v>
      </x:c>
      <x:c r="D47" s="23" t="n">
        <x:v>60</x:v>
      </x:c>
      <x:c r="E47" s="23" t="n">
        <x:v>0</x:v>
      </x:c>
      <x:c r="F47" s="23" t="str">
        <x:v>TAK</x:v>
      </x:c>
      <x:c r="G47" s="23"/>
      <x:c r="H47" s="23"/>
    </x:row>
    <x:row r="48">
      <x:c r="A48" s="23" t="n">
        <x:v>28</x:v>
      </x:c>
      <x:c r="B48" s="22" t="n">
        <x:v>46468</x:v>
      </x:c>
      <x:c r="C48" s="23" t="str">
        <x:v>Build 2</x:v>
      </x:c>
      <x:c r="D48" s="23" t="n">
        <x:v>180</x:v>
      </x:c>
      <x:c r="E48" s="23" t="n">
        <x:v>8</x:v>
      </x:c>
      <x:c r="F48" s="23"/>
      <x:c r="G48" s="23" t="str">
        <x:v>FTP</x:v>
      </x:c>
      <x:c r="H48" s="23"/>
    </x:row>
    <x:row r="49">
      <x:c r="A49" s="23" t="n">
        <x:v>29</x:v>
      </x:c>
      <x:c r="B49" s="22" t="n">
        <x:v>46475</x:v>
      </x:c>
      <x:c r="C49" s="23" t="str">
        <x:v>Build 2</x:v>
      </x:c>
      <x:c r="D49" s="23" t="n">
        <x:v>210</x:v>
      </x:c>
      <x:c r="E49" s="23" t="n">
        <x:v>10</x:v>
      </x:c>
      <x:c r="F49" s="23"/>
      <x:c r="G49" s="23"/>
      <x:c r="H49" s="23"/>
    </x:row>
    <x:row r="50">
      <x:c r="A50" s="23" t="n">
        <x:v>30</x:v>
      </x:c>
      <x:c r="B50" s="22" t="n">
        <x:v>46482</x:v>
      </x:c>
      <x:c r="C50" s="23" t="str">
        <x:v>Build 2</x:v>
      </x:c>
      <x:c r="D50" s="23" t="n">
        <x:v>220</x:v>
      </x:c>
      <x:c r="E50" s="23" t="n">
        <x:v>9</x:v>
      </x:c>
      <x:c r="F50" s="23"/>
      <x:c r="G50" s="23"/>
      <x:c r="H50" s="23"/>
    </x:row>
    <x:row r="51">
      <x:c r="A51" s="23" t="n">
        <x:v>31</x:v>
      </x:c>
      <x:c r="B51" s="22" t="n">
        <x:v>46489</x:v>
      </x:c>
      <x:c r="C51" s="23" t="str">
        <x:v>Build 2</x:v>
      </x:c>
      <x:c r="D51" s="23" t="n">
        <x:v>60</x:v>
      </x:c>
      <x:c r="E51" s="23" t="n">
        <x:v>0</x:v>
      </x:c>
      <x:c r="F51" s="23" t="str">
        <x:v>TAK</x:v>
      </x:c>
      <x:c r="G51" s="23"/>
      <x:c r="H51" s="23"/>
    </x:row>
    <x:row r="52">
      <x:c r="A52" s="23" t="n">
        <x:v>32</x:v>
      </x:c>
      <x:c r="B52" s="22" t="n">
        <x:v>46496</x:v>
      </x:c>
      <x:c r="C52" s="23" t="str">
        <x:v>Build 2</x:v>
      </x:c>
      <x:c r="D52" s="23" t="n">
        <x:v>200</x:v>
      </x:c>
      <x:c r="E52" s="23" t="n">
        <x:v>8</x:v>
      </x:c>
      <x:c r="F52" s="23"/>
      <x:c r="G52" s="23"/>
      <x:c r="H52" s="23"/>
    </x:row>
    <x:row r="53">
      <x:c r="A53" s="23" t="n">
        <x:v>33</x:v>
      </x:c>
      <x:c r="B53" s="22" t="n">
        <x:v>46503</x:v>
      </x:c>
      <x:c r="C53" s="23" t="str">
        <x:v>Build 2</x:v>
      </x:c>
      <x:c r="D53" s="23" t="n">
        <x:v>220</x:v>
      </x:c>
      <x:c r="E53" s="23" t="n">
        <x:v>9</x:v>
      </x:c>
      <x:c r="F53" s="23"/>
      <x:c r="G53" s="23"/>
      <x:c r="H53" s="23"/>
    </x:row>
    <x:row r="54">
      <x:c r="A54" s="23" t="n">
        <x:v>34</x:v>
      </x:c>
      <x:c r="B54" s="22" t="n">
        <x:v>46510</x:v>
      </x:c>
      <x:c r="C54" s="23" t="str">
        <x:v>Build 2</x:v>
      </x:c>
      <x:c r="D54" s="23" t="n">
        <x:v>210</x:v>
      </x:c>
      <x:c r="E54" s="23" t="n">
        <x:v>8</x:v>
      </x:c>
      <x:c r="F54" s="23"/>
      <x:c r="G54" s="23"/>
      <x:c r="H54" s="23"/>
    </x:row>
    <x:row r="55">
      <x:c r="A55" s="23" t="n">
        <x:v>35</x:v>
      </x:c>
      <x:c r="B55" s="22" t="n">
        <x:v>46517</x:v>
      </x:c>
      <x:c r="C55" s="23" t="str">
        <x:v>Build 2</x:v>
      </x:c>
      <x:c r="D55" s="23" t="n">
        <x:v>60</x:v>
      </x:c>
      <x:c r="E55" s="23" t="n">
        <x:v>0</x:v>
      </x:c>
      <x:c r="F55" s="23" t="str">
        <x:v>TAK</x:v>
      </x:c>
      <x:c r="G55" s="23"/>
      <x:c r="H55" s="23"/>
    </x:row>
    <x:row r="56">
      <x:c r="A56" s="23" t="n">
        <x:v>36</x:v>
      </x:c>
      <x:c r="B56" s="22" t="n">
        <x:v>46524</x:v>
      </x:c>
      <x:c r="C56" s="23" t="str">
        <x:v>Specyficzna 70.3</x:v>
      </x:c>
      <x:c r="D56" s="23" t="n">
        <x:v>190</x:v>
      </x:c>
      <x:c r="E56" s="23" t="n">
        <x:v>8</x:v>
      </x:c>
      <x:c r="F56" s="23"/>
      <x:c r="G56" s="23" t="str">
        <x:v>FTP</x:v>
      </x:c>
      <x:c r="H56" s="23" t="str">
        <x:v>OW/CSS 1900</x:v>
      </x:c>
    </x:row>
    <x:row r="57">
      <x:c r="A57" s="23" t="n">
        <x:v>37</x:v>
      </x:c>
      <x:c r="B57" s="22" t="n">
        <x:v>46531</x:v>
      </x:c>
      <x:c r="C57" s="23" t="str">
        <x:v>Specyficzna 70.3</x:v>
      </x:c>
      <x:c r="D57" s="23" t="n">
        <x:v>220</x:v>
      </x:c>
      <x:c r="E57" s="23" t="n">
        <x:v>10</x:v>
      </x:c>
      <x:c r="F57" s="23"/>
      <x:c r="G57" s="23"/>
      <x:c r="H57" s="23" t="str">
        <x:v>OW/CSS 1900</x:v>
      </x:c>
    </x:row>
    <x:row r="58">
      <x:c r="A58" s="23" t="n">
        <x:v>38</x:v>
      </x:c>
      <x:c r="B58" s="22" t="n">
        <x:v>46538</x:v>
      </x:c>
      <x:c r="C58" s="23" t="str">
        <x:v>Specyficzna 70.3</x:v>
      </x:c>
      <x:c r="D58" s="23" t="n">
        <x:v>220</x:v>
      </x:c>
      <x:c r="E58" s="23" t="n">
        <x:v>10</x:v>
      </x:c>
      <x:c r="F58" s="23"/>
      <x:c r="G58" s="23"/>
      <x:c r="H58" s="23" t="str">
        <x:v>OW/CSS 1900</x:v>
      </x:c>
    </x:row>
    <x:row r="59">
      <x:c r="A59" s="23" t="n">
        <x:v>39</x:v>
      </x:c>
      <x:c r="B59" s="22" t="n">
        <x:v>46545</x:v>
      </x:c>
      <x:c r="C59" s="23" t="str">
        <x:v>Specyficzna 70.3</x:v>
      </x:c>
      <x:c r="D59" s="23" t="n">
        <x:v>60</x:v>
      </x:c>
      <x:c r="E59" s="23" t="n">
        <x:v>0</x:v>
      </x:c>
      <x:c r="F59" s="23" t="str">
        <x:v>TAK</x:v>
      </x:c>
      <x:c r="G59" s="23"/>
      <x:c r="H59" s="23" t="str">
        <x:v>OW/CSS 1900</x:v>
      </x:c>
    </x:row>
    <x:row r="60">
      <x:c r="A60" s="23" t="n">
        <x:v>40</x:v>
      </x:c>
      <x:c r="B60" s="22" t="n">
        <x:v>46552</x:v>
      </x:c>
      <x:c r="C60" s="23" t="str">
        <x:v>Specyficzna 70.3</x:v>
      </x:c>
      <x:c r="D60" s="23" t="n">
        <x:v>210</x:v>
      </x:c>
      <x:c r="E60" s="23" t="n">
        <x:v>8</x:v>
      </x:c>
      <x:c r="F60" s="23"/>
      <x:c r="G60" s="23"/>
      <x:c r="H60" s="23" t="str">
        <x:v>OW/CSS 1900</x:v>
      </x:c>
    </x:row>
    <x:row r="61">
      <x:c r="A61" s="23" t="n">
        <x:v>41</x:v>
      </x:c>
      <x:c r="B61" s="22" t="n">
        <x:v>46559</x:v>
      </x:c>
      <x:c r="C61" s="23" t="str">
        <x:v>Specyficzna 70.3</x:v>
      </x:c>
      <x:c r="D61" s="23" t="n">
        <x:v>220</x:v>
      </x:c>
      <x:c r="E61" s="23" t="n">
        <x:v>10</x:v>
      </x:c>
      <x:c r="F61" s="23"/>
      <x:c r="G61" s="23"/>
      <x:c r="H61" s="23" t="str">
        <x:v>OW/CSS 1900</x:v>
      </x:c>
    </x:row>
    <x:row r="62">
      <x:c r="A62" s="23" t="n">
        <x:v>42</x:v>
      </x:c>
      <x:c r="B62" s="22" t="n">
        <x:v>46566</x:v>
      </x:c>
      <x:c r="C62" s="23" t="str">
        <x:v>Specyficzna 70.3</x:v>
      </x:c>
      <x:c r="D62" s="23" t="str">
        <x:v>START TEST</x:v>
      </x:c>
      <x:c r="E62" s="23" t="str">
        <x:v>T1/T2</x:v>
      </x:c>
      <x:c r="F62" s="23"/>
      <x:c r="G62" s="23" t="str">
        <x:v>TEST TRI</x:v>
      </x:c>
      <x:c r="H62" s="23" t="str">
        <x:v>LOGISTYKA T1/T2</x:v>
      </x:c>
    </x:row>
    <x:row r="63">
      <x:c r="A63" s="23" t="n">
        <x:v>43</x:v>
      </x:c>
      <x:c r="B63" s="22" t="n">
        <x:v>46573</x:v>
      </x:c>
      <x:c r="C63" s="23" t="str">
        <x:v>Specyficzna 70.3</x:v>
      </x:c>
      <x:c r="D63" s="23" t="n">
        <x:v>60</x:v>
      </x:c>
      <x:c r="E63" s="23" t="n">
        <x:v>0</x:v>
      </x:c>
      <x:c r="F63" s="23" t="str">
        <x:v>TAK</x:v>
      </x:c>
      <x:c r="G63" s="23"/>
      <x:c r="H63" s="23" t="str">
        <x:v>OW/CSS 1900</x:v>
      </x:c>
    </x:row>
    <x:row r="64">
      <x:c r="A64" s="23" t="n">
        <x:v>44</x:v>
      </x:c>
      <x:c r="B64" s="22" t="n">
        <x:v>46580</x:v>
      </x:c>
      <x:c r="C64" s="23" t="str">
        <x:v>Peak / szczyt formy</x:v>
      </x:c>
      <x:c r="D64" s="23" t="n">
        <x:v>210</x:v>
      </x:c>
      <x:c r="E64" s="23" t="n">
        <x:v>10</x:v>
      </x:c>
      <x:c r="F64" s="23"/>
      <x:c r="G64" s="23" t="str">
        <x:v>FTP</x:v>
      </x:c>
      <x:c r="H64" s="23" t="str">
        <x:v>OW/CSS 1900</x:v>
      </x:c>
    </x:row>
    <x:row r="65">
      <x:c r="A65" s="23" t="n">
        <x:v>45</x:v>
      </x:c>
      <x:c r="B65" s="22" t="n">
        <x:v>46587</x:v>
      </x:c>
      <x:c r="C65" s="23" t="str">
        <x:v>Peak / szczyt formy</x:v>
      </x:c>
      <x:c r="D65" s="23" t="n">
        <x:v>220</x:v>
      </x:c>
      <x:c r="E65" s="23" t="n">
        <x:v>10</x:v>
      </x:c>
      <x:c r="F65" s="23"/>
      <x:c r="G65" s="23"/>
      <x:c r="H65" s="23" t="str">
        <x:v>OW/CSS 1900</x:v>
      </x:c>
    </x:row>
    <x:row r="66">
      <x:c r="A66" s="23" t="n">
        <x:v>46</x:v>
      </x:c>
      <x:c r="B66" s="22" t="n">
        <x:v>46594</x:v>
      </x:c>
      <x:c r="C66" s="23" t="str">
        <x:v>Peak / szczyt formy</x:v>
      </x:c>
      <x:c r="D66" s="23" t="n">
        <x:v>180</x:v>
      </x:c>
      <x:c r="E66" s="23" t="n">
        <x:v>8</x:v>
      </x:c>
      <x:c r="F66" s="23"/>
      <x:c r="G66" s="23"/>
      <x:c r="H66" s="23" t="str">
        <x:v>OW/CSS 1900</x:v>
      </x:c>
    </x:row>
    <x:row r="67">
      <x:c r="A67" s="23" t="n">
        <x:v>47</x:v>
      </x:c>
      <x:c r="B67" s="22" t="n">
        <x:v>46601</x:v>
      </x:c>
      <x:c r="C67" s="23" t="str">
        <x:v>Peak / szczyt formy</x:v>
      </x:c>
      <x:c r="D67" s="23" t="n">
        <x:v>60</x:v>
      </x:c>
      <x:c r="E67" s="23" t="n">
        <x:v>0</x:v>
      </x:c>
      <x:c r="F67" s="23" t="str">
        <x:v>TAK</x:v>
      </x:c>
      <x:c r="G67" s="23"/>
      <x:c r="H67" s="23" t="str">
        <x:v>OW/CSS 1900</x:v>
      </x:c>
    </x:row>
    <x:row r="68">
      <x:c r="A68" s="23" t="n">
        <x:v>48</x:v>
      </x:c>
      <x:c r="B68" s="22" t="n">
        <x:v>46608</x:v>
      </x:c>
      <x:c r="C68" s="23" t="str">
        <x:v>Taper / start</x:v>
      </x:c>
      <x:c r="D68" s="23" t="n">
        <x:v>150</x:v>
      </x:c>
      <x:c r="E68" s="23" t="n">
        <x:v>6</x:v>
      </x:c>
      <x:c r="F68" s="23"/>
      <x:c r="G68" s="23"/>
      <x:c r="H68" s="23" t="str">
        <x:v>OPEN WATER</x:v>
      </x:c>
    </x:row>
    <x:row r="69">
      <x:c r="A69" s="23" t="n">
        <x:v>49</x:v>
      </x:c>
      <x:c r="B69" s="22" t="n">
        <x:v>46615</x:v>
      </x:c>
      <x:c r="C69" s="23" t="str">
        <x:v>Taper / start</x:v>
      </x:c>
      <x:c r="D69" s="23" t="n">
        <x:v>60</x:v>
      </x:c>
      <x:c r="E69" s="23" t="n">
        <x:v>0</x:v>
      </x:c>
      <x:c r="F69" s="23" t="str">
        <x:v>TAK</x:v>
      </x:c>
      <x:c r="G69" s="23"/>
      <x:c r="H69" s="23"/>
    </x:row>
    <x:row r="70">
      <x:c r="A70" s="23" t="n">
        <x:v>50</x:v>
      </x:c>
      <x:c r="B70" s="22" t="n">
        <x:v>46622</x:v>
      </x:c>
      <x:c r="C70" s="23" t="str">
        <x:v>Taper / start</x:v>
      </x:c>
      <x:c r="D70" s="23" t="n">
        <x:v>60</x:v>
      </x:c>
      <x:c r="E70" s="23" t="n">
        <x:v>0</x:v>
      </x:c>
      <x:c r="F70" s="23" t="str">
        <x:v>TAK</x:v>
      </x:c>
      <x:c r="G70" s="23"/>
      <x:c r="H70" s="23"/>
    </x:row>
    <x:row r="71">
      <x:c r="A71" s="23" t="n">
        <x:v>51</x:v>
      </x:c>
      <x:c r="B71" s="22" t="n">
        <x:v>46629</x:v>
      </x:c>
      <x:c r="C71" s="23" t="str">
        <x:v>Taper / start</x:v>
      </x:c>
      <x:c r="D71" s="23" t="n">
        <x:v>25</x:v>
      </x:c>
      <x:c r="E71" s="23" t="str"/>
      <x:c r="F71" s="23"/>
      <x:c r="G71" s="23"/>
      <x:c r="H71" s="23"/>
    </x:row>
  </x:sheetData>
  <x:mergeCells>
    <x:mergeCell ref="A1:H1"/>
  </x:mergeCells>
  <x:conditionalFormatting sqref="C4:C16">
    <x:cfRule type="dataBar" priority="1">
      <x:dataBar>
        <x:cfvo type="min"/>
        <x:cfvo type="max"/>
        <x:color rgb="4472C4"/>
      </x:dataBar>
      <x:extLst>
        <x:ext xmlns:x14="http://schemas.microsoft.com/office/spreadsheetml/2009/9/main" uri="{B025F937-C7B1-47D3-B67F-A62EFF666E3E}">
          <x14:id>{03D0F5FA-0AD5-0B58-039F-4B0FC979F8E8}</x14:id>
        </x:ext>
      </x:extLst>
    </x:cfRule>
  </x:conditionalFormatting>
  <x:conditionalFormatting sqref="D21:D71">
    <x:cfRule type="dataBar" priority="2">
      <x:dataBar>
        <x:cfvo type="min"/>
        <x:cfvo type="max"/>
        <x:color rgb="70AD47"/>
      </x:dataBar>
      <x:extLst>
        <x:ext xmlns:x14="http://schemas.microsoft.com/office/spreadsheetml/2009/9/main" uri="{B025F937-C7B1-47D3-B67F-A62EFF666E3E}">
          <x14:id>{74EB3220-C4F3-7F79-72B5-314C2804B9C9}</x14:id>
        </x:ext>
      </x:extLst>
    </x:cfRule>
  </x:conditionalFormatting>
  <x:conditionalFormatting sqref="E21:E71">
    <x:cfRule type="dataBar" priority="3">
      <x:dataBar>
        <x:cfvo type="min"/>
        <x:cfvo type="max"/>
        <x:color rgb="ED7D31"/>
      </x:dataBar>
      <x:extLst>
        <x:ext xmlns:x14="http://schemas.microsoft.com/office/spreadsheetml/2009/9/main" uri="{B025F937-C7B1-47D3-B67F-A62EFF666E3E}">
          <x14:id>{BD212FD0-5EB5-65F0-DD44-16BCED03F8FC}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b5adfd1bfa924186"/>
  <x:tableParts count="2">
    <x:tablePart xmlns:r="http://schemas.openxmlformats.org/officeDocument/2006/relationships" r:id="Rbd82982e1a44482f"/>
    <x:tablePart xmlns:r="http://schemas.openxmlformats.org/officeDocument/2006/relationships" r:id="Rfd6a3c9fda1b4e4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3D0F5FA-0AD5-0B58-039F-4B0FC979F8E8}">
            <x14:dataBar gradient="1">
              <x14:cfvo type="min"/>
              <x14:cfvo type="max"/>
              <x14:fillColor rgb="4472C4"/>
            </x14:dataBar>
          </x14:cfRule>
          <xm:sqref>C4:C16</xm:sqref>
        </x14:conditionalFormatting>
        <x14:conditionalFormatting>
          <x14:cfRule type="dataBar" priority="2" id="{74EB3220-C4F3-7F79-72B5-314C2804B9C9}">
            <x14:dataBar gradient="1">
              <x14:cfvo type="min"/>
              <x14:cfvo type="max"/>
              <x14:fillColor rgb="70AD47"/>
            </x14:dataBar>
          </x14:cfRule>
          <xm:sqref>D21:D71</xm:sqref>
        </x14:conditionalFormatting>
        <x14:conditionalFormatting>
          <x14:cfRule type="dataBar" priority="3" id="{BD212FD0-5EB5-65F0-DD44-16BCED03F8FC}">
            <x14:dataBar gradient="1">
              <x14:cfvo type="min"/>
              <x14:cfvo type="max"/>
              <x14:fillColor rgb="ED7D31"/>
            </x14:dataBar>
          </x14:cfRule>
          <xm:sqref>E21:E71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8" hidden="0" customWidth="1"/>
    <x:col min="4" max="4" width="16" hidden="0" customWidth="1"/>
    <x:col min="5" max="5" width="5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4" hidden="0" customWidth="1"/>
    <x:col min="11" max="11" width="24" hidden="0" customWidth="1"/>
  </x:cols>
  <x:sheetData>
    <x:row r="1" ht="28" customHeight="1">
      <x:c r="A1" s="248" t="str">
        <x:v>COACH CENTER — readiness, Plan B, paliwo, buty i predykcja startów</x:v>
      </x:c>
      <x:c r="B1" s="248"/>
      <x:c r="C1" s="248"/>
      <x:c r="D1" s="248"/>
      <x:c r="E1" s="248"/>
      <x:c r="F1" s="248"/>
      <x:c r="G1" s="248"/>
      <x:c r="H1" s="248"/>
      <x:c r="I1" s="248"/>
      <x:c r="J1" s="248"/>
      <x:c r="K1" s="248"/>
    </x:row>
    <x:row r="2" ht="36" customHeight="1">
      <x:c r="A2" s="249" t="str">
        <x:v>Uzupełniaj po treningu RPE, ból, sen, paliwo, czas, dystans, buty i mental w arkuszach FAZA 1 / FAZA 2. Ten panel sam liczy sygnały.</x:v>
      </x:c>
      <x:c r="B2" s="249"/>
      <x:c r="C2" s="249"/>
      <x:c r="D2" s="249"/>
      <x:c r="E2" s="249"/>
      <x:c r="F2" s="249"/>
      <x:c r="G2" s="249"/>
      <x:c r="H2" s="249"/>
      <x:c r="I2" s="249"/>
      <x:c r="J2" s="249"/>
      <x:c r="K2" s="249"/>
    </x:row>
    <x:row r="3">
      <x:c r="A3" s="226"/>
      <x:c r="B3" s="226"/>
      <x:c r="C3" s="226"/>
      <x:c r="D3" s="226"/>
      <x:c r="E3" s="226"/>
      <x:c r="F3" s="226"/>
      <x:c r="G3" s="226"/>
      <x:c r="H3" s="226"/>
      <x:c r="I3" s="226"/>
      <x:c r="J3" s="226"/>
      <x:c r="K3" s="226"/>
    </x:row>
    <x:row r="4" ht="22" customHeight="1">
      <x:c r="A4" s="250" t="str">
        <x:v>1) GOTOWOŚĆ DO TRENINGU + AUTOMATYCZNY PLAN B</x:v>
      </x:c>
      <x:c r="B4" s="250"/>
      <x:c r="C4" s="250"/>
      <x:c r="D4" s="250"/>
      <x:c r="E4" s="250"/>
      <x:c r="F4" s="250"/>
      <x:c r="G4" s="250"/>
      <x:c r="H4" s="250"/>
      <x:c r="I4" s="250"/>
      <x:c r="J4" s="250"/>
      <x:c r="K4" s="250"/>
    </x:row>
    <x:row r="5">
      <x:c r="A5" s="273" t="str">
        <x:v>Metryka</x:v>
      </x:c>
      <x:c r="B5" s="274" t="str">
        <x:v>Wartość</x:v>
      </x:c>
      <x:c r="C5" s="274" t="str">
        <x:v>Interpretacja</x:v>
      </x:c>
      <x:c r="D5" s="274"/>
      <x:c r="E5" s="274" t="str">
        <x:v>Jutro / Plan B</x:v>
      </x:c>
      <x:c r="F5" s="274" t="str">
        <x:v>Wartość</x:v>
      </x:c>
      <x:c r="G5" s="274" t="str">
        <x:v>Co robić</x:v>
      </x:c>
      <x:c r="H5" s="274"/>
      <x:c r="I5" s="274" t="str">
        <x:v>Coach comment</x:v>
      </x:c>
      <x:c r="J5" s="274"/>
      <x:c r="K5" s="275"/>
    </x:row>
    <x:row r="6">
      <x:c r="A6" s="276" t="str">
        <x:v>Dzisiaj</x:v>
      </x:c>
      <x:c r="B6" s="277" t="n">
        <x:f>TODAY()</x:f>
        <x:v>46185</x:v>
      </x:c>
      <x:c r="C6" s="278" t="str">
        <x:v>automatycznie</x:v>
      </x:c>
      <x:c r="D6" s="278"/>
      <x:c r="E6" s="278" t="str">
        <x:v>Data jutro</x:v>
      </x:c>
      <x:c r="F6" s="279" t="n">
        <x:f>TODAY()+1</x:f>
        <x:v>46186</x:v>
      </x:c>
      <x:c r="G6" s="278" t="str">
        <x:v>automatycznie</x:v>
      </x:c>
      <x:c r="H6" s="278"/>
      <x:c r="I6" s="280" t="str">
        <x:f>IF(NOT(ISNUMBER(B6)),"BRAK DANYCH: wpisz RPE/ból/sen po kilku treningach.",IF(B13&gt;0,"CZERWONY: był ból ≥5 w ostatnich 14 dniach. Zero mocnych bodźców do poprawy.",IF(B12&gt;=3,"POMARAŃCZOWY: ból ≥3 powtarza się. Usuń interwały/T2/podbieg.",IF(AND(B14&lt;6.5,B10&gt;=6),"ŻÓŁTY: sen słaby i RPE wysokie. Skróć najbliższy trening.",IF(B6&gt;=85,"PETARDA: regeneracja wygląda dobrze. Realizuj plan, ale bez dokładania.","OK: kontynuuj, obserwuj trendy.")))))</x:f>
        <x:v>PETARDA: regeneracja wygląda dobrze. Realizuj plan, ale bez dokładania.</x:v>
      </x:c>
      <x:c r="J6" s="280"/>
      <x:c r="K6" s="281"/>
    </x:row>
    <x:row r="7">
      <x:c r="A7" s="276" t="str">
        <x:v>Readiness Score 0-100</x:v>
      </x:c>
      <x:c r="B7" s="282" t="str">
        <x:f>IF(B9=0,"BRAK DANYCH",MAX(0,MIN(100,ROUND(100-IF(B10="",0,MAX(0,B10-5)*8)-IF(B11="",0,B11*8)-B12*3-B13*10-IF(B14="",0,MAX(0,6.8-B14)*9)-IF(B15="",0,MAX(0,6-B15)*5),0))))</x:f>
        <x:v>BRAK DANYCH</x:v>
      </x:c>
      <x:c r="C7" s="278" t="str">
        <x:v>im wyżej, tym bezpieczniej cisnąć</x:v>
      </x:c>
      <x:c r="D7" s="278"/>
      <x:c r="E7" s="278" t="str">
        <x:v>Dyscyplina jutro</x:v>
      </x:c>
      <x:c r="F7" s="278" t="str">
        <x:f>IFERROR(INDEX('FAZA 1 - OSLO MARATHON'!$E$5:$E$99,MATCH(TODAY()+1,'FAZA 1 - OSLO MARATHON'!$A$5:$A$99,0)),IFERROR(INDEX('FAZA 2 - IRONMAN 70.3 POZNAŃ'!$E$5:$E$361,MATCH(TODAY()+1,'FAZA 2 - IRONMAN 70.3 POZNAŃ'!$A$5:$A$361,0)),"brak w planie"))</x:f>
        <x:v>Tacx Z1</x:v>
      </x:c>
      <x:c r="G7" s="278" t="str">
        <x:v>z planu</x:v>
      </x:c>
      <x:c r="H7" s="278"/>
      <x:c r="I7" s="280"/>
      <x:c r="J7" s="280"/>
      <x:c r="K7" s="281"/>
    </x:row>
    <x:row r="8">
      <x:c r="A8" s="276" t="str">
        <x:v>Decyzja</x:v>
      </x:c>
      <x:c r="B8" s="282" t="str">
        <x:f>IF(ISNUMBER(B6),IF(B6&gt;=85,"ZIELONY — możesz cisnąć",IF(B6&gt;=70,"OK — realizuj plan",IF(B6&gt;=55,"ŻÓŁTY — skróć 10-20%",IF(B6&gt;=40,"POMARAŃCZOWY — zamień akcent na easy","CZERWONY — wolne/basen/Tacx Z1")))),"BRAK DANYCH")</x:f>
        <x:v>ZIELONY — możesz cisnąć</x:v>
      </x:c>
      <x:c r="C8" s="278" t="str">
        <x:v>zielony/żółty/pomarańczowy/czerwony</x:v>
      </x:c>
      <x:c r="D8" s="278"/>
      <x:c r="E8" s="278" t="str">
        <x:v>Opis treningu jutro</x:v>
      </x:c>
      <x:c r="F8" s="278" t="str">
        <x:f>IFERROR(INDEX('FAZA 1 - OSLO MARATHON'!$F$5:$F$99,MATCH(TODAY()+1,'FAZA 1 - OSLO MARATHON'!$A$5:$A$99,0)),IFERROR(INDEX('FAZA 2 - IRONMAN 70.3 POZNAŃ'!$F$5:$F$361,MATCH(TODAY()+1,'FAZA 2 - IRONMAN 70.3 POZNAŃ'!$A$5:$A$361,0)),""))</x:f>
        <x:v>45 min bardzo lekko 135-150 W, kadencja 90-95+. Tylko krążenie.</x:v>
      </x:c>
      <x:c r="G8" s="278" t="str">
        <x:v>z planu</x:v>
      </x:c>
      <x:c r="H8" s="278"/>
      <x:c r="I8" s="280"/>
      <x:c r="J8" s="280"/>
      <x:c r="K8" s="281"/>
    </x:row>
    <x:row r="9">
      <x:c r="A9" s="276" t="str">
        <x:v>Wpisy RPE 7 dni</x:v>
      </x:c>
      <x:c r="B9" s="278" t="n">
        <x:f>COUNTIFS('FAZA 1 - OSLO MARATHON'!$A$5:$A$99,"&gt;="&amp;TODAY()-6,'FAZA 1 - OSLO MARATHON'!$L$5:$L$99,"&gt;0")+COUNTIFS('FAZA 2 - IRONMAN 70.3 POZNAŃ'!$A$5:$A$361,"&gt;="&amp;TODAY()-6,'FAZA 2 - IRONMAN 70.3 POZNAŃ'!$L$5:$L$361,"&gt;0")</x:f>
        <x:v>0</x:v>
      </x:c>
      <x:c r="C9" s="278" t="str">
        <x:v>czy dashboard ma z czego liczyć</x:v>
      </x:c>
      <x:c r="D9" s="278"/>
      <x:c r="E9" s="278" t="str">
        <x:v>Plan B na jutro</x:v>
      </x:c>
      <x:c r="F9" s="278" t="str">
        <x:f>IF(NOT(ISNUMBER($B$6)),"Uzupełnij kilka treningów, żeby Excel miał dane.",IF($B$6&gt;=70,"Realizuj plan. Nie dokładaj ekstra.",IF($B$6&gt;=55,"Skróć objętość o 10-20%, zostaw tylko główny cel.",IF($B$6&gt;=40,"Zamień akcent na 30-60 min easy / basen / Tacx Z1.","Wolne albo 20-30 min bardzo luźno. Zero heroizmu."))))</x:f>
        <x:v>Realizuj plan. Nie dokładaj ekstra.</x:v>
      </x:c>
      <x:c r="G9" s="278" t="str">
        <x:v>automatycznie wg readiness</x:v>
      </x:c>
      <x:c r="H9" s="278"/>
      <x:c r="I9" s="280"/>
      <x:c r="J9" s="280"/>
      <x:c r="K9" s="281"/>
    </x:row>
    <x:row r="10">
      <x:c r="A10" s="276" t="str">
        <x:v>Śr. RPE 7 dni</x:v>
      </x:c>
      <x:c r="B10" s="283" t="str">
        <x:f>IF(B9=0,"",ROUND((SUMIFS('FAZA 1 - OSLO MARATHON'!$L$5:$L$99,'FAZA 1 - OSLO MARATHON'!$A$5:$A$99,"&gt;="&amp;TODAY()-6)+SUMIFS('FAZA 2 - IRONMAN 70.3 POZNAŃ'!$L$5:$L$361,'FAZA 2 - IRONMAN 70.3 POZNAŃ'!$A$5:$A$361,"&gt;="&amp;TODAY()-6))/B9,1))</x:f>
      </x:c>
      <x:c r="C10" s="278" t="str">
        <x:v>powyżej 6 = narastające zmęczenie</x:v>
      </x:c>
      <x:c r="D10" s="278"/>
      <x:c r="E10" s="278"/>
      <x:c r="F10" s="278"/>
      <x:c r="G10" s="278"/>
      <x:c r="H10" s="278"/>
      <x:c r="I10" s="280"/>
      <x:c r="J10" s="280"/>
      <x:c r="K10" s="281"/>
    </x:row>
    <x:row r="11">
      <x:c r="A11" s="276" t="str">
        <x:v>Śr. ból 7 dni</x:v>
      </x:c>
      <x:c r="B11" s="283" t="n">
        <x:f>IF((COUNTIFS('FAZA 1 - OSLO MARATHON'!$A$5:$A$99,"&gt;="&amp;TODAY()-6,'FAZA 1 - OSLO MARATHON'!$M$5:$M$99,"&gt;=0")+COUNTIFS('FAZA 2 - IRONMAN 70.3 POZNAŃ'!$A$5:$A$361,"&gt;="&amp;TODAY()-6,'FAZA 2 - IRONMAN 70.3 POZNAŃ'!$M$5:$M$361,"&gt;=0"))=0,"",ROUND((SUMIFS('FAZA 1 - OSLO MARATHON'!$M$5:$M$99,'FAZA 1 - OSLO MARATHON'!$A$5:$A$99,"&gt;="&amp;TODAY()-6)+SUMIFS('FAZA 2 - IRONMAN 70.3 POZNAŃ'!$M$5:$M$361,'FAZA 2 - IRONMAN 70.3 POZNAŃ'!$A$5:$A$361,"&gt;="&amp;TODAY()-6))/(COUNTIFS('FAZA 1 - OSLO MARATHON'!$A$5:$A$99,"&gt;="&amp;TODAY()-6,'FAZA 1 - OSLO MARATHON'!$M$5:$M$99,"&gt;=0")+COUNTIFS('FAZA 2 - IRONMAN 70.3 POZNAŃ'!$A$5:$A$361,"&gt;="&amp;TODAY()-6,'FAZA 2 - IRONMAN 70.3 POZNAŃ'!$M$5:$M$361,"&gt;=0")),1))</x:f>
        <x:v>0</x:v>
      </x:c>
      <x:c r="C11" s="278" t="str">
        <x:v>0-2 OK, 3+ obserwuj, 5+ stop</x:v>
      </x:c>
      <x:c r="D11" s="278"/>
      <x:c r="E11" s="278"/>
      <x:c r="F11" s="278"/>
      <x:c r="G11" s="278"/>
      <x:c r="H11" s="278"/>
      <x:c r="I11" s="280"/>
      <x:c r="J11" s="280"/>
      <x:c r="K11" s="281"/>
    </x:row>
    <x:row r="12">
      <x:c r="A12" s="276" t="str">
        <x:v>Dni z bólem ≥3 / 14 dni</x:v>
      </x:c>
      <x:c r="B12" s="278" t="n">
        <x:f>COUNTIFS('FAZA 1 - OSLO MARATHON'!$A$5:$A$99,"&gt;="&amp;TODAY()-13,'FAZA 1 - OSLO MARATHON'!$M$5:$M$99,"&gt;=3")+COUNTIFS('FAZA 2 - IRONMAN 70.3 POZNAŃ'!$A$5:$A$361,"&gt;="&amp;TODAY()-13,'FAZA 2 - IRONMAN 70.3 POZNAŃ'!$M$5:$M$361,"&gt;=3")</x:f>
        <x:v>0</x:v>
      </x:c>
      <x:c r="C12" s="278" t="str">
        <x:v>częste 3+ = redukcja obciążenia</x:v>
      </x:c>
      <x:c r="D12" s="278"/>
      <x:c r="E12" s="278"/>
      <x:c r="F12" s="278"/>
      <x:c r="G12" s="278"/>
      <x:c r="H12" s="278"/>
      <x:c r="I12" s="280"/>
      <x:c r="J12" s="280"/>
      <x:c r="K12" s="281"/>
    </x:row>
    <x:row r="13">
      <x:c r="A13" s="276" t="str">
        <x:v>Dni z bólem ≥5 / 14 dni</x:v>
      </x:c>
      <x:c r="B13" s="278" t="n">
        <x:f>COUNTIFS('FAZA 1 - OSLO MARATHON'!$A$5:$A$99,"&gt;="&amp;TODAY()-13,'FAZA 1 - OSLO MARATHON'!$M$5:$M$99,"&gt;=5")+COUNTIFS('FAZA 2 - IRONMAN 70.3 POZNAŃ'!$A$5:$A$361,"&gt;="&amp;TODAY()-13,'FAZA 2 - IRONMAN 70.3 POZNAŃ'!$M$5:$M$361,"&gt;=5")</x:f>
        <x:v>0</x:v>
      </x:c>
      <x:c r="C13" s="278" t="str">
        <x:v>5+ = koniec mocnych bodźców</x:v>
      </x:c>
      <x:c r="D13" s="278"/>
      <x:c r="E13" s="278"/>
      <x:c r="F13" s="278"/>
      <x:c r="G13" s="278"/>
      <x:c r="H13" s="278"/>
      <x:c r="I13" s="280"/>
      <x:c r="J13" s="280"/>
      <x:c r="K13" s="281"/>
    </x:row>
    <x:row r="14">
      <x:c r="A14" s="276" t="str">
        <x:v>Śr. sen 7 dni</x:v>
      </x:c>
      <x:c r="B14" s="283" t="str">
        <x:f>IF((COUNTIFS('FAZA 1 - OSLO MARATHON'!$A$5:$A$99,"&gt;="&amp;TODAY()-6,'FAZA 1 - OSLO MARATHON'!$N$5:$N$99,"&gt;0")+COUNTIFS('FAZA 2 - IRONMAN 70.3 POZNAŃ'!$A$5:$A$361,"&gt;="&amp;TODAY()-6,'FAZA 2 - IRONMAN 70.3 POZNAŃ'!$N$5:$N$361,"&gt;0"))=0,"",ROUND((SUMIFS('FAZA 1 - OSLO MARATHON'!$N$5:$N$99,'FAZA 1 - OSLO MARATHON'!$A$5:$A$99,"&gt;="&amp;TODAY()-6)+SUMIFS('FAZA 2 - IRONMAN 70.3 POZNAŃ'!$N$5:$N$361,'FAZA 2 - IRONMAN 70.3 POZNAŃ'!$A$5:$A$361,"&gt;="&amp;TODAY()-6))/(COUNTIFS('FAZA 1 - OSLO MARATHON'!$A$5:$A$99,"&gt;="&amp;TODAY()-6,'FAZA 1 - OSLO MARATHON'!$N$5:$N$99,"&gt;0")+COUNTIFS('FAZA 2 - IRONMAN 70.3 POZNAŃ'!$A$5:$A$361,"&gt;="&amp;TODAY()-6,'FAZA 2 - IRONMAN 70.3 POZNAŃ'!$N$5:$N$361,"&gt;0")),1))</x:f>
      </x:c>
      <x:c r="C14" s="278" t="str">
        <x:v>poniżej 6.5h = ostrożnie</x:v>
      </x:c>
      <x:c r="D14" s="278"/>
      <x:c r="E14" s="278"/>
      <x:c r="F14" s="278"/>
      <x:c r="G14" s="278"/>
      <x:c r="H14" s="278"/>
      <x:c r="I14" s="278"/>
      <x:c r="J14" s="278"/>
      <x:c r="K14" s="284"/>
    </x:row>
    <x:row r="15">
      <x:c r="A15" s="276" t="str">
        <x:v>Śr. mental 7 dni</x:v>
      </x:c>
      <x:c r="B15" s="283" t="str">
        <x:f>IF((COUNTIFS('FAZA 1 - OSLO MARATHON'!$A$5:$A$99,"&gt;="&amp;TODAY()-6,'FAZA 1 - OSLO MARATHON'!$Z$5:$Z$99,"&gt;0")+COUNTIFS('FAZA 2 - IRONMAN 70.3 POZNAŃ'!$A$5:$A$361,"&gt;="&amp;TODAY()-6,'FAZA 2 - IRONMAN 70.3 POZNAŃ'!$Z$5:$Z$361,"&gt;0"))=0,"",ROUND((SUMIFS('FAZA 1 - OSLO MARATHON'!$Z$5:$Z$99,'FAZA 1 - OSLO MARATHON'!$A$5:$A$99,"&gt;="&amp;TODAY()-6)+SUMIFS('FAZA 2 - IRONMAN 70.3 POZNAŃ'!$Z$5:$Z$361,'FAZA 2 - IRONMAN 70.3 POZNAŃ'!$A$5:$A$361,"&gt;="&amp;TODAY()-6))/(COUNTIFS('FAZA 1 - OSLO MARATHON'!$A$5:$A$99,"&gt;="&amp;TODAY()-6,'FAZA 1 - OSLO MARATHON'!$Z$5:$Z$99,"&gt;0")+COUNTIFS('FAZA 2 - IRONMAN 70.3 POZNAŃ'!$A$5:$A$361,"&gt;="&amp;TODAY()-6,'FAZA 2 - IRONMAN 70.3 POZNAŃ'!$Z$5:$Z$361,"&gt;0")),1))</x:f>
      </x:c>
      <x:c r="C15" s="278" t="str">
        <x:v>1-4 = zmęczenie głowy</x:v>
      </x:c>
      <x:c r="D15" s="278"/>
      <x:c r="E15" s="278"/>
      <x:c r="F15" s="278"/>
      <x:c r="G15" s="278"/>
      <x:c r="H15" s="278"/>
      <x:c r="I15" s="278"/>
      <x:c r="J15" s="278"/>
      <x:c r="K15" s="284"/>
    </x:row>
    <x:row r="16">
      <x:c r="A16" s="276" t="str">
        <x:v>Paliwo wpisane 14 dni</x:v>
      </x:c>
      <x:c r="B16" s="278" t="n">
        <x:f>COUNTIFS('FAZA 1 - OSLO MARATHON'!$A$5:$A$99,"&gt;="&amp;TODAY()-13,'FAZA 1 - OSLO MARATHON'!$O$5:$O$99,"&lt;&gt;")+COUNTIFS('FAZA 2 - IRONMAN 70.3 POZNAŃ'!$A$5:$A$361,"&gt;="&amp;TODAY()-13,'FAZA 2 - IRONMAN 70.3 POZNAŃ'!$O$5:$O$361,"&lt;&gt;")</x:f>
        <x:v>0</x:v>
      </x:c>
      <x:c r="C16" s="278" t="str">
        <x:v>pilnuje testów żeli/izotonika</x:v>
      </x:c>
      <x:c r="D16" s="278"/>
      <x:c r="E16" s="278"/>
      <x:c r="F16" s="278"/>
      <x:c r="G16" s="278"/>
      <x:c r="H16" s="278"/>
      <x:c r="I16" s="278"/>
      <x:c r="J16" s="278"/>
      <x:c r="K16" s="284"/>
    </x:row>
    <x:row r="17">
      <x:c r="A17" s="285" t="str">
        <x:v>Plan wykonany śr. 14 dni</x:v>
      </x:c>
      <x:c r="B17" s="286" t="str">
        <x:f>IF((COUNTIFS('FAZA 1 - OSLO MARATHON'!$A$5:$A$99,"&gt;="&amp;TODAY()-13,'FAZA 1 - OSLO MARATHON'!$Y$5:$Y$99,"&gt;=0")+COUNTIFS('FAZA 2 - IRONMAN 70.3 POZNAŃ'!$A$5:$A$361,"&gt;="&amp;TODAY()-13,'FAZA 2 - IRONMAN 70.3 POZNAŃ'!$Y$5:$Y$361,"&gt;=0"))=0,"",TEXT((SUMIFS('FAZA 1 - OSLO MARATHON'!$Y$5:$Y$99,'FAZA 1 - OSLO MARATHON'!$A$5:$A$99,"&gt;="&amp;TODAY()-13)+SUMIFS('FAZA 2 - IRONMAN 70.3 POZNAŃ'!$Y$5:$Y$361,'FAZA 2 - IRONMAN 70.3 POZNAŃ'!$A$5:$A$361,"&gt;="&amp;TODAY()-13))/(COUNTIFS('FAZA 1 - OSLO MARATHON'!$A$5:$A$99,"&gt;="&amp;TODAY()-13,'FAZA 1 - OSLO MARATHON'!$Y$5:$Y$99,"&gt;=0")+COUNTIFS('FAZA 2 - IRONMAN 70.3 POZNAŃ'!$A$5:$A$361,"&gt;="&amp;TODAY()-13,'FAZA 2 - IRONMAN 70.3 POZNAŃ'!$Y$5:$Y$361,"&gt;=0")),"0%"))</x:f>
        <x:v>0%</x:v>
      </x:c>
      <x:c r="C17" s="286" t="str">
        <x:v>nie ścigaj się z Excelem; to tylko kontrola</x:v>
      </x:c>
      <x:c r="D17" s="286"/>
      <x:c r="E17" s="286"/>
      <x:c r="F17" s="286"/>
      <x:c r="G17" s="286"/>
      <x:c r="H17" s="286"/>
      <x:c r="I17" s="286"/>
      <x:c r="J17" s="286"/>
      <x:c r="K17" s="287"/>
    </x:row>
    <x:row r="18">
      <x:c r="A18" s="226"/>
      <x:c r="B18" s="226"/>
      <x:c r="C18" s="226"/>
      <x:c r="D18" s="226"/>
      <x:c r="E18" s="226"/>
      <x:c r="F18" s="226"/>
      <x:c r="G18" s="226"/>
      <x:c r="H18" s="226"/>
      <x:c r="I18" s="226"/>
      <x:c r="J18" s="226"/>
      <x:c r="K18" s="226"/>
    </x:row>
    <x:row r="19">
      <x:c r="A19" s="226"/>
      <x:c r="B19" s="226"/>
      <x:c r="C19" s="226"/>
      <x:c r="D19" s="226"/>
      <x:c r="E19" s="226"/>
      <x:c r="F19" s="226"/>
      <x:c r="G19" s="226"/>
      <x:c r="H19" s="226"/>
      <x:c r="I19" s="226"/>
      <x:c r="J19" s="226"/>
      <x:c r="K19" s="226"/>
    </x:row>
    <x:row r="20" ht="22" customHeight="1">
      <x:c r="A20" s="250" t="str">
        <x:v>2) FUELING CALCULATOR — long run / rower / zakładka / start</x:v>
      </x:c>
      <x:c r="B20" s="250"/>
      <x:c r="C20" s="250"/>
      <x:c r="D20" s="250"/>
      <x:c r="E20" s="250"/>
      <x:c r="F20" s="250"/>
      <x:c r="G20" s="250"/>
      <x:c r="H20" s="250"/>
      <x:c r="I20" s="250"/>
      <x:c r="J20" s="250"/>
      <x:c r="K20" s="250"/>
    </x:row>
    <x:row r="21">
      <x:c r="A21" s="273" t="str">
        <x:v>Input</x:v>
      </x:c>
      <x:c r="B21" s="274" t="str">
        <x:v>Wartość</x:v>
      </x:c>
      <x:c r="C21" s="274" t="str">
        <x:v>Jednostka</x:v>
      </x:c>
      <x:c r="D21" s="274"/>
      <x:c r="E21" s="274" t="str">
        <x:v>Output</x:v>
      </x:c>
      <x:c r="F21" s="274" t="str">
        <x:v>Wynik</x:v>
      </x:c>
      <x:c r="G21" s="274" t="str">
        <x:v>Jak czytać</x:v>
      </x:c>
      <x:c r="H21" s="274"/>
      <x:c r="I21" s="274" t="str">
        <x:v>Schedule żeli</x:v>
      </x:c>
      <x:c r="J21" s="274" t="str">
        <x:v>Minuta</x:v>
      </x:c>
      <x:c r="K21" s="275" t="str">
        <x:v>Reminder</x:v>
      </x:c>
    </x:row>
    <x:row r="22">
      <x:c r="A22" s="276" t="str">
        <x:v>Czas treningu</x:v>
      </x:c>
      <x:c r="B22" s="288" t="n">
        <x:v>180</x:v>
      </x:c>
      <x:c r="C22" s="278" t="str">
        <x:v>min</x:v>
      </x:c>
      <x:c r="D22" s="278"/>
      <x:c r="E22" s="278" t="str">
        <x:v>Węgle łącznie</x:v>
      </x:c>
      <x:c r="F22" s="289" t="n">
        <x:f>ROUND(B22/60*B23,0)</x:f>
        <x:v>210</x:v>
      </x:c>
      <x:c r="G22" s="278" t="str">
        <x:v>cel węgli na całą jednostkę</x:v>
      </x:c>
      <x:c r="H22" s="278"/>
      <x:c r="I22" s="278" t="n">
        <x:v>1</x:v>
      </x:c>
      <x:c r="J22" s="289" t="n">
        <x:f>IF($F$25&gt;=I22,ROUND($F$28*I22,0),"")</x:f>
        <x:v>30</x:v>
      </x:c>
      <x:c r="K22" s="284" t="str">
        <x:f>IF(J22&lt;&gt;"","Żel + kilka łyków wody","")</x:f>
        <x:v>Żel + kilka łyków wody</x:v>
      </x:c>
    </x:row>
    <x:row r="23">
      <x:c r="A23" s="276" t="str">
        <x:v>Cel węgli</x:v>
      </x:c>
      <x:c r="B23" s="288" t="n">
        <x:v>70</x:v>
      </x:c>
      <x:c r="C23" s="278" t="str">
        <x:v>g/h</x:v>
      </x:c>
      <x:c r="D23" s="278"/>
      <x:c r="E23" s="278" t="str">
        <x:v>Węgle z bidonów</x:v>
      </x:c>
      <x:c r="F23" s="289" t="n">
        <x:f>B25*B26</x:f>
        <x:v>80</x:v>
      </x:c>
      <x:c r="G23" s="278" t="str">
        <x:v>bidony × g węgli</x:v>
      </x:c>
      <x:c r="H23" s="278"/>
      <x:c r="I23" s="278" t="n">
        <x:v>2</x:v>
      </x:c>
      <x:c r="J23" s="289" t="n">
        <x:f>IF($F$25&gt;=I23,ROUND($F$28*I23,0),"")</x:f>
        <x:v>60</x:v>
      </x:c>
      <x:c r="K23" s="284" t="str">
        <x:f>IF(J23&lt;&gt;"","Żel + kilka łyków wody","")</x:f>
        <x:v>Żel + kilka łyków wody</x:v>
      </x:c>
    </x:row>
    <x:row r="24">
      <x:c r="A24" s="276" t="str">
        <x:v>Węgle w żelu</x:v>
      </x:c>
      <x:c r="B24" s="288" t="n">
        <x:v>25</x:v>
      </x:c>
      <x:c r="C24" s="278" t="str">
        <x:v>g</x:v>
      </x:c>
      <x:c r="D24" s="278"/>
      <x:c r="E24" s="278" t="str">
        <x:v>Węgle z żeli</x:v>
      </x:c>
      <x:c r="F24" s="289" t="n">
        <x:f>MAX(0,F22-F23)</x:f>
        <x:v>130</x:v>
      </x:c>
      <x:c r="G24" s="278" t="str">
        <x:v>ile zostaje do pokrycia żelami</x:v>
      </x:c>
      <x:c r="H24" s="278"/>
      <x:c r="I24" s="278" t="n">
        <x:v>3</x:v>
      </x:c>
      <x:c r="J24" s="289" t="n">
        <x:f>IF($F$25&gt;=I24,ROUND($F$28*I24,0),"")</x:f>
        <x:v>90</x:v>
      </x:c>
      <x:c r="K24" s="284" t="str">
        <x:f>IF(J24&lt;&gt;"","Żel + kilka łyków wody","")</x:f>
        <x:v>Żel + kilka łyków wody</x:v>
      </x:c>
    </x:row>
    <x:row r="25">
      <x:c r="A25" s="276" t="str">
        <x:v>Węgle w bidonie</x:v>
      </x:c>
      <x:c r="B25" s="288" t="n">
        <x:v>40</x:v>
      </x:c>
      <x:c r="C25" s="278" t="str">
        <x:v>g</x:v>
      </x:c>
      <x:c r="D25" s="278"/>
      <x:c r="E25" s="278" t="str">
        <x:v>Żele potrzebne</x:v>
      </x:c>
      <x:c r="F25" s="289" t="n">
        <x:f>CEILING(F24/B24,1)</x:f>
        <x:v>6</x:v>
      </x:c>
      <x:c r="G25" s="278" t="str">
        <x:v>zaokrąglone w górę</x:v>
      </x:c>
      <x:c r="H25" s="278"/>
      <x:c r="I25" s="278" t="n">
        <x:v>4</x:v>
      </x:c>
      <x:c r="J25" s="289" t="n">
        <x:f>IF($F$25&gt;=I25,ROUND($F$28*I25,0),"")</x:f>
        <x:v>120</x:v>
      </x:c>
      <x:c r="K25" s="284" t="str">
        <x:f>IF(J25&lt;&gt;"","Żel + kilka łyków wody","")</x:f>
        <x:v>Żel + kilka łyków wody</x:v>
      </x:c>
    </x:row>
    <x:row r="26">
      <x:c r="A26" s="276" t="str">
        <x:v>Liczba bidonów</x:v>
      </x:c>
      <x:c r="B26" s="288" t="n">
        <x:v>2</x:v>
      </x:c>
      <x:c r="C26" s="278" t="str">
        <x:v>szt.</x:v>
      </x:c>
      <x:c r="D26" s="278"/>
      <x:c r="E26" s="278" t="str">
        <x:v>Płyn łącznie</x:v>
      </x:c>
      <x:c r="F26" s="289" t="n">
        <x:f>ROUND(B22/60*B27,0)</x:f>
        <x:v>1500</x:v>
      </x:c>
      <x:c r="G26" s="278" t="str">
        <x:v>orientacyjnie</x:v>
      </x:c>
      <x:c r="H26" s="278"/>
      <x:c r="I26" s="278" t="n">
        <x:v>5</x:v>
      </x:c>
      <x:c r="J26" s="289" t="n">
        <x:f>IF($F$25&gt;=I26,ROUND($F$28*I26,0),"")</x:f>
        <x:v>150</x:v>
      </x:c>
      <x:c r="K26" s="284" t="str">
        <x:f>IF(J26&lt;&gt;"","Żel + kilka łyków wody","")</x:f>
        <x:v>Żel + kilka łyków wody</x:v>
      </x:c>
    </x:row>
    <x:row r="27">
      <x:c r="A27" s="276" t="str">
        <x:v>Płyn</x:v>
      </x:c>
      <x:c r="B27" s="288" t="n">
        <x:v>500</x:v>
      </x:c>
      <x:c r="C27" s="278" t="str">
        <x:v>ml/h</x:v>
      </x:c>
      <x:c r="D27" s="278"/>
      <x:c r="E27" s="278" t="str">
        <x:v>Sód łącznie</x:v>
      </x:c>
      <x:c r="F27" s="289" t="n">
        <x:f>ROUND(B22/60*B28,0)</x:f>
        <x:v>1800</x:v>
      </x:c>
      <x:c r="G27" s="278" t="str">
        <x:v>orientacyjnie</x:v>
      </x:c>
      <x:c r="H27" s="278"/>
      <x:c r="I27" s="278" t="n">
        <x:v>6</x:v>
      </x:c>
      <x:c r="J27" s="289" t="n">
        <x:f>IF($F$25&gt;=I27,ROUND($F$28*I27,0),"")</x:f>
        <x:v>180</x:v>
      </x:c>
      <x:c r="K27" s="284" t="str">
        <x:f>IF(J27&lt;&gt;"","Żel + kilka łyków wody","")</x:f>
        <x:v>Żel + kilka łyków wody</x:v>
      </x:c>
    </x:row>
    <x:row r="28">
      <x:c r="A28" s="276" t="str">
        <x:v>Sód</x:v>
      </x:c>
      <x:c r="B28" s="288" t="n">
        <x:v>600</x:v>
      </x:c>
      <x:c r="C28" s="278" t="str">
        <x:v>mg/h</x:v>
      </x:c>
      <x:c r="D28" s="278"/>
      <x:c r="E28" s="278" t="str">
        <x:v>Żel co</x:v>
      </x:c>
      <x:c r="F28" s="289" t="n">
        <x:f>IF(F25&gt;0,ROUND(B22/F25,0),"")</x:f>
        <x:v>30</x:v>
      </x:c>
      <x:c r="G28" s="278" t="str">
        <x:v>minuty między żelami</x:v>
      </x:c>
      <x:c r="H28" s="278"/>
      <x:c r="I28" s="278" t="n">
        <x:v>7</x:v>
      </x:c>
      <x:c r="J28" s="289" t="str">
        <x:f>IF($F$25&gt;=I28,ROUND($F$28*I28,0),"")</x:f>
      </x:c>
      <x:c r="K28" s="284" t="str">
        <x:f>IF(J28&lt;&gt;"","Żel + kilka łyków wody","")</x:f>
      </x:c>
    </x:row>
    <x:row r="29">
      <x:c r="A29" s="276"/>
      <x:c r="B29" s="278"/>
      <x:c r="C29" s="278"/>
      <x:c r="D29" s="278"/>
      <x:c r="E29" s="278"/>
      <x:c r="F29" s="278"/>
      <x:c r="G29" s="278"/>
      <x:c r="H29" s="278"/>
      <x:c r="I29" s="278" t="n">
        <x:v>8</x:v>
      </x:c>
      <x:c r="J29" s="289" t="str">
        <x:f>IF($F$25&gt;=I29,ROUND($F$28*I29,0),"")</x:f>
      </x:c>
      <x:c r="K29" s="284" t="str">
        <x:f>IF(J29&lt;&gt;"","Żel + kilka łyków wody","")</x:f>
      </x:c>
    </x:row>
    <x:row r="30">
      <x:c r="A30" s="276"/>
      <x:c r="B30" s="278"/>
      <x:c r="C30" s="278"/>
      <x:c r="D30" s="278"/>
      <x:c r="E30" s="278"/>
      <x:c r="F30" s="278"/>
      <x:c r="G30" s="278"/>
      <x:c r="H30" s="278"/>
      <x:c r="I30" s="278" t="n">
        <x:v>9</x:v>
      </x:c>
      <x:c r="J30" s="289" t="str">
        <x:f>IF($F$25&gt;=I30,ROUND($F$28*I30,0),"")</x:f>
      </x:c>
      <x:c r="K30" s="284" t="str">
        <x:f>IF(J30&lt;&gt;"","Żel + kilka łyków wody","")</x:f>
      </x:c>
    </x:row>
    <x:row r="31">
      <x:c r="A31" s="276"/>
      <x:c r="B31" s="278"/>
      <x:c r="C31" s="278"/>
      <x:c r="D31" s="278"/>
      <x:c r="E31" s="278"/>
      <x:c r="F31" s="278"/>
      <x:c r="G31" s="278"/>
      <x:c r="H31" s="278"/>
      <x:c r="I31" s="278" t="n">
        <x:v>10</x:v>
      </x:c>
      <x:c r="J31" s="289" t="str">
        <x:f>IF($F$25&gt;=I31,ROUND($F$28*I31,0),"")</x:f>
      </x:c>
      <x:c r="K31" s="284" t="str">
        <x:f>IF(J31&lt;&gt;"","Żel + kilka łyków wody","")</x:f>
      </x:c>
    </x:row>
    <x:row r="32">
      <x:c r="A32" s="276"/>
      <x:c r="B32" s="278"/>
      <x:c r="C32" s="278"/>
      <x:c r="D32" s="278"/>
      <x:c r="E32" s="278"/>
      <x:c r="F32" s="278"/>
      <x:c r="G32" s="278"/>
      <x:c r="H32" s="278"/>
      <x:c r="I32" s="278" t="n">
        <x:v>11</x:v>
      </x:c>
      <x:c r="J32" s="289" t="str">
        <x:f>IF($F$25&gt;=I32,ROUND($F$28*I32,0),"")</x:f>
      </x:c>
      <x:c r="K32" s="284" t="str">
        <x:f>IF(J32&lt;&gt;"","Żel + kilka łyków wody","")</x:f>
      </x:c>
    </x:row>
    <x:row r="33">
      <x:c r="A33" s="285"/>
      <x:c r="B33" s="286"/>
      <x:c r="C33" s="286"/>
      <x:c r="D33" s="286"/>
      <x:c r="E33" s="286"/>
      <x:c r="F33" s="286"/>
      <x:c r="G33" s="286"/>
      <x:c r="H33" s="286"/>
      <x:c r="I33" s="286" t="n">
        <x:v>12</x:v>
      </x:c>
      <x:c r="J33" s="290" t="str">
        <x:f>IF($F$25&gt;=I33,ROUND($F$28*I33,0),"")</x:f>
      </x:c>
      <x:c r="K33" s="287" t="str">
        <x:f>IF(J33&lt;&gt;"","Żel + kilka łyków wody","")</x:f>
      </x:c>
    </x:row>
    <x:row r="34">
      <x:c r="A34" s="226"/>
      <x:c r="B34" s="226"/>
      <x:c r="C34" s="226"/>
      <x:c r="D34" s="226"/>
      <x:c r="E34" s="226"/>
      <x:c r="F34" s="226"/>
      <x:c r="G34" s="226"/>
      <x:c r="H34" s="226"/>
      <x:c r="I34" s="226"/>
      <x:c r="J34" s="226"/>
      <x:c r="K34" s="226"/>
    </x:row>
    <x:row r="35">
      <x:c r="A35" s="226"/>
      <x:c r="B35" s="226"/>
      <x:c r="C35" s="226"/>
      <x:c r="D35" s="226"/>
      <x:c r="E35" s="226"/>
      <x:c r="F35" s="226"/>
      <x:c r="G35" s="226"/>
      <x:c r="H35" s="226"/>
      <x:c r="I35" s="226"/>
      <x:c r="J35" s="226"/>
      <x:c r="K35" s="226"/>
    </x:row>
    <x:row r="36">
      <x:c r="A36" s="226"/>
      <x:c r="B36" s="226"/>
      <x:c r="C36" s="226"/>
      <x:c r="D36" s="226"/>
      <x:c r="E36" s="226"/>
      <x:c r="F36" s="226"/>
      <x:c r="G36" s="226"/>
      <x:c r="H36" s="226"/>
      <x:c r="I36" s="226"/>
      <x:c r="J36" s="226"/>
      <x:c r="K36" s="226"/>
    </x:row>
    <x:row r="37">
      <x:c r="A37" s="226"/>
      <x:c r="B37" s="226"/>
      <x:c r="C37" s="226"/>
      <x:c r="D37" s="226"/>
      <x:c r="E37" s="226"/>
      <x:c r="F37" s="226"/>
      <x:c r="G37" s="226"/>
      <x:c r="H37" s="226"/>
      <x:c r="I37" s="226"/>
      <x:c r="J37" s="226"/>
      <x:c r="K37" s="226"/>
    </x:row>
    <x:row r="38">
      <x:c r="A38" s="226"/>
      <x:c r="B38" s="226"/>
      <x:c r="C38" s="226"/>
      <x:c r="D38" s="226"/>
      <x:c r="E38" s="226"/>
      <x:c r="F38" s="226"/>
      <x:c r="G38" s="226"/>
      <x:c r="H38" s="226"/>
      <x:c r="I38" s="226"/>
      <x:c r="J38" s="226"/>
      <x:c r="K38" s="226"/>
    </x:row>
    <x:row r="39" ht="22" customHeight="1">
      <x:c r="A39" s="250" t="str">
        <x:v>3) SHOE MILEAGE TRACKER — przebieg butów</x:v>
      </x:c>
      <x:c r="B39" s="250"/>
      <x:c r="C39" s="250"/>
      <x:c r="D39" s="250"/>
      <x:c r="E39" s="250"/>
      <x:c r="F39" s="250"/>
      <x:c r="G39" s="250"/>
      <x:c r="H39" s="250"/>
      <x:c r="I39" s="250"/>
      <x:c r="J39" s="250"/>
      <x:c r="K39" s="250"/>
    </x:row>
    <x:row r="40">
      <x:c r="A40" s="273" t="str">
        <x:v>Buty / sprzęt</x:v>
      </x:c>
      <x:c r="B40" s="274" t="str">
        <x:v>KM startowe</x:v>
      </x:c>
      <x:c r="C40" s="274" t="str">
        <x:v>Limit km</x:v>
      </x:c>
      <x:c r="D40" s="274" t="str">
        <x:v>KM wpisane z planu</x:v>
      </x:c>
      <x:c r="E40" s="274" t="str">
        <x:v>Razem</x:v>
      </x:c>
      <x:c r="F40" s="274" t="str">
        <x:v>Zostało</x:v>
      </x:c>
      <x:c r="G40" s="274" t="str">
        <x:v>Status</x:v>
      </x:c>
      <x:c r="H40" s="274"/>
      <x:c r="I40" s="274" t="str">
        <x:v>Jak używać</x:v>
      </x:c>
      <x:c r="J40" s="274"/>
      <x:c r="K40" s="275"/>
    </x:row>
    <x:row r="41">
      <x:c r="A41" s="276" t="str">
        <x:v>Easy shoes</x:v>
      </x:c>
      <x:c r="B41" s="291" t="n">
        <x:v>0</x:v>
      </x:c>
      <x:c r="C41" s="291" t="n">
        <x:v>700</x:v>
      </x:c>
      <x:c r="D41" s="278" t="n">
        <x:f>SUMIFS('FAZA 1 - OSLO MARATHON'!$W$5:$W$99,'FAZA 1 - OSLO MARATHON'!$X$5:$X$99,A41)+SUMIFS('FAZA 2 - IRONMAN 70.3 POZNAŃ'!$W$5:$W$361,'FAZA 2 - IRONMAN 70.3 POZNAŃ'!$X$5:$X$361,A41)</x:f>
        <x:v>0</x:v>
      </x:c>
      <x:c r="E41" s="278" t="n">
        <x:f>B41+D41</x:f>
        <x:v>0</x:v>
      </x:c>
      <x:c r="F41" s="278" t="n">
        <x:f>C41-E41</x:f>
        <x:v>700</x:v>
      </x:c>
      <x:c r="G41" s="278" t="str">
        <x:f>IF(E41&gt;=C41,"WYMIANA",IF(E41&gt;=C41*0.8,"OBSERWUJ","OK"))</x:f>
        <x:v>OK</x:v>
      </x:c>
      <x:c r="H41" s="278"/>
      <x:c r="I41" s="278" t="str">
        <x:v>Wpisuj dystans km w kolumnie W i wybierz buty w kolumnie X w FAZA 1 / FAZA 2.</x:v>
      </x:c>
      <x:c r="J41" s="278"/>
      <x:c r="K41" s="284"/>
    </x:row>
    <x:row r="42">
      <x:c r="A42" s="276" t="str">
        <x:v>Metaspeed Sky Tokyo</x:v>
      </x:c>
      <x:c r="B42" s="291" t="n">
        <x:v>0</x:v>
      </x:c>
      <x:c r="C42" s="291" t="n">
        <x:v>350</x:v>
      </x:c>
      <x:c r="D42" s="278" t="n">
        <x:f>SUMIFS('FAZA 1 - OSLO MARATHON'!$W$5:$W$99,'FAZA 1 - OSLO MARATHON'!$X$5:$X$99,A42)+SUMIFS('FAZA 2 - IRONMAN 70.3 POZNAŃ'!$W$5:$W$361,'FAZA 2 - IRONMAN 70.3 POZNAŃ'!$X$5:$X$361,A42)</x:f>
        <x:v>0</x:v>
      </x:c>
      <x:c r="E42" s="278" t="n">
        <x:f>B42+D42</x:f>
        <x:v>0</x:v>
      </x:c>
      <x:c r="F42" s="278" t="n">
        <x:f>C42-E42</x:f>
        <x:v>350</x:v>
      </x:c>
      <x:c r="G42" s="278" t="str">
        <x:f>IF(E42&gt;=C42,"WYMIANA",IF(E42&gt;=C42*0.8,"OBSERWUJ","OK"))</x:f>
        <x:v>OK</x:v>
      </x:c>
      <x:c r="H42" s="278"/>
      <x:c r="I42" s="278" t="str">
        <x:v>KM startowe = jeśli buty już mają przebieg. Limit możesz zmienić ręcznie.</x:v>
      </x:c>
      <x:c r="J42" s="278"/>
      <x:c r="K42" s="284"/>
    </x:row>
    <x:row r="43">
      <x:c r="A43" s="276" t="str">
        <x:v>Hoka Cielo X1</x:v>
      </x:c>
      <x:c r="B43" s="291" t="n">
        <x:v>0</x:v>
      </x:c>
      <x:c r="C43" s="291" t="n">
        <x:v>350</x:v>
      </x:c>
      <x:c r="D43" s="278" t="n">
        <x:f>SUMIFS('FAZA 1 - OSLO MARATHON'!$W$5:$W$99,'FAZA 1 - OSLO MARATHON'!$X$5:$X$99,A43)+SUMIFS('FAZA 2 - IRONMAN 70.3 POZNAŃ'!$W$5:$W$361,'FAZA 2 - IRONMAN 70.3 POZNAŃ'!$X$5:$X$361,A43)</x:f>
        <x:v>0</x:v>
      </x:c>
      <x:c r="E43" s="278" t="n">
        <x:f>B43+D43</x:f>
        <x:v>0</x:v>
      </x:c>
      <x:c r="F43" s="278" t="n">
        <x:f>C43-E43</x:f>
        <x:v>350</x:v>
      </x:c>
      <x:c r="G43" s="278" t="str">
        <x:f>IF(E43&gt;=C43,"WYMIANA",IF(E43&gt;=C43*0.8,"OBSERWUJ","OK"))</x:f>
        <x:v>OK</x:v>
      </x:c>
      <x:c r="H43" s="278"/>
      <x:c r="I43" s="278" t="str">
        <x:v>Status sam pokaże OK / OBSERWUJ / WYMIANA.</x:v>
      </x:c>
      <x:c r="J43" s="278"/>
      <x:c r="K43" s="284"/>
    </x:row>
    <x:row r="44">
      <x:c r="A44" s="276" t="str">
        <x:v>Trail</x:v>
      </x:c>
      <x:c r="B44" s="291" t="n">
        <x:v>0</x:v>
      </x:c>
      <x:c r="C44" s="291" t="n">
        <x:v>700</x:v>
      </x:c>
      <x:c r="D44" s="278" t="n">
        <x:f>SUMIFS('FAZA 1 - OSLO MARATHON'!$W$5:$W$99,'FAZA 1 - OSLO MARATHON'!$X$5:$X$99,A44)+SUMIFS('FAZA 2 - IRONMAN 70.3 POZNAŃ'!$W$5:$W$361,'FAZA 2 - IRONMAN 70.3 POZNAŃ'!$X$5:$X$361,A44)</x:f>
        <x:v>0</x:v>
      </x:c>
      <x:c r="E44" s="278" t="n">
        <x:f>B44+D44</x:f>
        <x:v>0</x:v>
      </x:c>
      <x:c r="F44" s="278" t="n">
        <x:f>C44-E44</x:f>
        <x:v>700</x:v>
      </x:c>
      <x:c r="G44" s="278" t="str">
        <x:f>IF(E44&gt;=C44,"WYMIANA",IF(E44&gt;=C44*0.8,"OBSERWUJ","OK"))</x:f>
        <x:v>OK</x:v>
      </x:c>
      <x:c r="H44" s="278"/>
      <x:c r="I44" s="278"/>
      <x:c r="J44" s="278"/>
      <x:c r="K44" s="284"/>
    </x:row>
    <x:row r="45">
      <x:c r="A45" s="276" t="str">
        <x:v>Treadmill</x:v>
      </x:c>
      <x:c r="B45" s="291" t="n">
        <x:v>0</x:v>
      </x:c>
      <x:c r="C45" s="291" t="n">
        <x:v>700</x:v>
      </x:c>
      <x:c r="D45" s="278" t="n">
        <x:f>SUMIFS('FAZA 1 - OSLO MARATHON'!$W$5:$W$99,'FAZA 1 - OSLO MARATHON'!$X$5:$X$99,A45)+SUMIFS('FAZA 2 - IRONMAN 70.3 POZNAŃ'!$W$5:$W$361,'FAZA 2 - IRONMAN 70.3 POZNAŃ'!$X$5:$X$361,A45)</x:f>
        <x:v>0</x:v>
      </x:c>
      <x:c r="E45" s="278" t="n">
        <x:f>B45+D45</x:f>
        <x:v>0</x:v>
      </x:c>
      <x:c r="F45" s="278" t="n">
        <x:f>C45-E45</x:f>
        <x:v>700</x:v>
      </x:c>
      <x:c r="G45" s="278" t="str">
        <x:f>IF(E45&gt;=C45,"WYMIANA",IF(E45&gt;=C45*0.8,"OBSERWUJ","OK"))</x:f>
        <x:v>OK</x:v>
      </x:c>
      <x:c r="H45" s="278"/>
      <x:c r="I45" s="278"/>
      <x:c r="J45" s="278"/>
      <x:c r="K45" s="284"/>
    </x:row>
    <x:row r="46">
      <x:c r="A46" s="285" t="str">
        <x:v>Inne</x:v>
      </x:c>
      <x:c r="B46" s="292" t="n">
        <x:v>0</x:v>
      </x:c>
      <x:c r="C46" s="292" t="n">
        <x:v>600</x:v>
      </x:c>
      <x:c r="D46" s="286" t="n">
        <x:f>SUMIFS('FAZA 1 - OSLO MARATHON'!$W$5:$W$99,'FAZA 1 - OSLO MARATHON'!$X$5:$X$99,A46)+SUMIFS('FAZA 2 - IRONMAN 70.3 POZNAŃ'!$W$5:$W$361,'FAZA 2 - IRONMAN 70.3 POZNAŃ'!$X$5:$X$361,A46)</x:f>
        <x:v>0</x:v>
      </x:c>
      <x:c r="E46" s="286" t="n">
        <x:f>B46+D46</x:f>
        <x:v>0</x:v>
      </x:c>
      <x:c r="F46" s="286" t="n">
        <x:f>C46-E46</x:f>
        <x:v>600</x:v>
      </x:c>
      <x:c r="G46" s="286" t="str">
        <x:f>IF(E46&gt;=C46,"WYMIANA",IF(E46&gt;=C46*0.8,"OBSERWUJ","OK"))</x:f>
        <x:v>OK</x:v>
      </x:c>
      <x:c r="H46" s="286"/>
      <x:c r="I46" s="286"/>
      <x:c r="J46" s="286"/>
      <x:c r="K46" s="287"/>
    </x:row>
    <x:row r="47">
      <x:c r="A47" s="226"/>
      <x:c r="B47" s="226"/>
      <x:c r="C47" s="226"/>
      <x:c r="D47" s="226"/>
      <x:c r="E47" s="226"/>
      <x:c r="F47" s="226"/>
      <x:c r="G47" s="226"/>
      <x:c r="H47" s="226"/>
      <x:c r="I47" s="226"/>
      <x:c r="J47" s="226"/>
      <x:c r="K47" s="226"/>
    </x:row>
    <x:row r="48">
      <x:c r="A48" s="226"/>
      <x:c r="B48" s="226"/>
      <x:c r="C48" s="226"/>
      <x:c r="D48" s="226"/>
      <x:c r="E48" s="226"/>
      <x:c r="F48" s="226"/>
      <x:c r="G48" s="226"/>
      <x:c r="H48" s="226"/>
      <x:c r="I48" s="226"/>
      <x:c r="J48" s="226"/>
      <x:c r="K48" s="226"/>
    </x:row>
    <x:row r="49">
      <x:c r="A49" s="226"/>
      <x:c r="B49" s="226"/>
      <x:c r="C49" s="226"/>
      <x:c r="D49" s="226"/>
      <x:c r="E49" s="226"/>
      <x:c r="F49" s="226"/>
      <x:c r="G49" s="226"/>
      <x:c r="H49" s="226"/>
      <x:c r="I49" s="226"/>
      <x:c r="J49" s="226"/>
      <x:c r="K49" s="226"/>
    </x:row>
    <x:row r="50">
      <x:c r="A50" s="226"/>
      <x:c r="B50" s="226"/>
      <x:c r="C50" s="226"/>
      <x:c r="D50" s="226"/>
      <x:c r="E50" s="226"/>
      <x:c r="F50" s="226"/>
      <x:c r="G50" s="226"/>
      <x:c r="H50" s="226"/>
      <x:c r="I50" s="226"/>
      <x:c r="J50" s="226"/>
      <x:c r="K50" s="226"/>
    </x:row>
    <x:row r="51">
      <x:c r="A51" s="226"/>
      <x:c r="B51" s="226"/>
      <x:c r="C51" s="226"/>
      <x:c r="D51" s="226"/>
      <x:c r="E51" s="226"/>
      <x:c r="F51" s="226"/>
      <x:c r="G51" s="226"/>
      <x:c r="H51" s="226"/>
      <x:c r="I51" s="226"/>
      <x:c r="J51" s="226"/>
      <x:c r="K51" s="226"/>
    </x:row>
    <x:row r="52">
      <x:c r="A52" s="226"/>
      <x:c r="B52" s="226"/>
      <x:c r="C52" s="226"/>
      <x:c r="D52" s="226"/>
      <x:c r="E52" s="226"/>
      <x:c r="F52" s="226"/>
      <x:c r="G52" s="226"/>
      <x:c r="H52" s="226"/>
      <x:c r="I52" s="226"/>
      <x:c r="J52" s="226"/>
      <x:c r="K52" s="226"/>
    </x:row>
    <x:row r="53">
      <x:c r="A53" s="226"/>
      <x:c r="B53" s="226"/>
      <x:c r="C53" s="226"/>
      <x:c r="D53" s="226"/>
      <x:c r="E53" s="226"/>
      <x:c r="F53" s="226"/>
      <x:c r="G53" s="226"/>
      <x:c r="H53" s="226"/>
      <x:c r="I53" s="226"/>
      <x:c r="J53" s="226"/>
      <x:c r="K53" s="226"/>
    </x:row>
    <x:row r="54" ht="22" customHeight="1">
      <x:c r="A54" s="250" t="str">
        <x:v>4) RACE PREDICTOR — Oslo i 70.3</x:v>
      </x:c>
      <x:c r="B54" s="250"/>
      <x:c r="C54" s="250"/>
      <x:c r="D54" s="250"/>
      <x:c r="E54" s="250"/>
      <x:c r="F54" s="250"/>
      <x:c r="G54" s="250"/>
      <x:c r="H54" s="250"/>
      <x:c r="I54" s="250"/>
      <x:c r="J54" s="250"/>
      <x:c r="K54" s="250"/>
    </x:row>
    <x:row r="55">
      <x:c r="A55" s="273" t="str">
        <x:v>OSLO predictor</x:v>
      </x:c>
      <x:c r="B55" s="274" t="str">
        <x:v>Input</x:v>
      </x:c>
      <x:c r="C55" s="274" t="str">
        <x:v>Predykcja</x:v>
      </x:c>
      <x:c r="D55" s="274" t="str">
        <x:v>Tempo / km</x:v>
      </x:c>
      <x:c r="E55" s="274"/>
      <x:c r="F55" s="274" t="str">
        <x:v>70.3 predictor</x:v>
      </x:c>
      <x:c r="G55" s="274" t="str">
        <x:v>Input</x:v>
      </x:c>
      <x:c r="H55" s="274" t="str">
        <x:v>Wynik</x:v>
      </x:c>
      <x:c r="I55" s="274" t="str">
        <x:v>Uwagi</x:v>
      </x:c>
      <x:c r="J55" s="274"/>
      <x:c r="K55" s="275"/>
    </x:row>
    <x:row r="56">
      <x:c r="A56" s="276" t="str">
        <x:v>10 km test</x:v>
      </x:c>
      <x:c r="B56" s="293"/>
      <x:c r="C56" s="294" t="str">
        <x:f>IF(B56="","",B56*(42.195/10)^1.06)</x:f>
      </x:c>
      <x:c r="D56" s="295" t="str">
        <x:f>IF(C56="","",C56/42.195)</x:f>
      </x:c>
      <x:c r="E56" s="278"/>
      <x:c r="F56" s="278" t="str">
        <x:v>Swim 1.9 km</x:v>
      </x:c>
      <x:c r="G56" s="293"/>
      <x:c r="H56" s="294" t="n">
        <x:f>G56</x:f>
        <x:v>0</x:v>
      </x:c>
      <x:c r="I56" s="278" t="str">
        <x:v>wpisz czas</x:v>
      </x:c>
      <x:c r="J56" s="278"/>
      <x:c r="K56" s="284"/>
    </x:row>
    <x:row r="57">
      <x:c r="A57" s="276" t="str">
        <x:v>Półmaraton test</x:v>
      </x:c>
      <x:c r="B57" s="293"/>
      <x:c r="C57" s="294" t="str">
        <x:f>IF(B57="","",B57*(42.195/21.0975)^1.06)</x:f>
      </x:c>
      <x:c r="D57" s="295" t="str">
        <x:f>IF(C57="","",C57/42.195)</x:f>
      </x:c>
      <x:c r="E57" s="278"/>
      <x:c r="F57" s="278" t="str">
        <x:v>Bike 90 km</x:v>
      </x:c>
      <x:c r="G57" s="293"/>
      <x:c r="H57" s="294" t="n">
        <x:f>G57</x:f>
        <x:v>0</x:v>
      </x:c>
      <x:c r="I57" s="278" t="str">
        <x:v>wpisz czas</x:v>
      </x:c>
      <x:c r="J57" s="278"/>
      <x:c r="K57" s="284"/>
    </x:row>
    <x:row r="58">
      <x:c r="A58" s="276" t="str">
        <x:v>Najbardziej realistycznie</x:v>
      </x:c>
      <x:c r="B58" s="278"/>
      <x:c r="C58" s="294" t="str">
        <x:f>IF(C57&lt;&gt;"",C57,IF(C56&lt;&gt;"",C56,""))</x:f>
      </x:c>
      <x:c r="D58" s="295" t="str">
        <x:f>IF(C58="","",C58/42.195)</x:f>
      </x:c>
      <x:c r="E58" s="278"/>
      <x:c r="F58" s="278" t="str">
        <x:v>Run pace</x:v>
      </x:c>
      <x:c r="G58" s="296"/>
      <x:c r="H58" s="294" t="n">
        <x:f>G58*21.1</x:f>
        <x:v>0</x:v>
      </x:c>
      <x:c r="I58" s="278" t="str">
        <x:v>wpisz tempo/km</x:v>
      </x:c>
      <x:c r="J58" s="278"/>
      <x:c r="K58" s="284"/>
    </x:row>
    <x:row r="59">
      <x:c r="A59" s="276"/>
      <x:c r="B59" s="278"/>
      <x:c r="C59" s="278"/>
      <x:c r="D59" s="278"/>
      <x:c r="E59" s="278"/>
      <x:c r="F59" s="278" t="str">
        <x:v>T1</x:v>
      </x:c>
      <x:c r="G59" s="296" t="str">
        <x:v>00:04:00</x:v>
      </x:c>
      <x:c r="H59" s="294" t="str">
        <x:f>G59</x:f>
        <x:v>00:04:00</x:v>
      </x:c>
      <x:c r="I59" s="278" t="str">
        <x:v>możesz zmienić</x:v>
      </x:c>
      <x:c r="J59" s="278"/>
      <x:c r="K59" s="284"/>
    </x:row>
    <x:row r="60">
      <x:c r="A60" s="276"/>
      <x:c r="B60" s="278"/>
      <x:c r="C60" s="278"/>
      <x:c r="D60" s="278"/>
      <x:c r="E60" s="278"/>
      <x:c r="F60" s="278" t="str">
        <x:v>T2</x:v>
      </x:c>
      <x:c r="G60" s="296" t="str">
        <x:v>00:03:00</x:v>
      </x:c>
      <x:c r="H60" s="294" t="str">
        <x:f>G60</x:f>
        <x:v>00:03:00</x:v>
      </x:c>
      <x:c r="I60" s="278" t="str">
        <x:v>możesz zmienić</x:v>
      </x:c>
      <x:c r="J60" s="278"/>
      <x:c r="K60" s="284"/>
    </x:row>
    <x:row r="61">
      <x:c r="A61" s="276"/>
      <x:c r="B61" s="278"/>
      <x:c r="C61" s="278"/>
      <x:c r="D61" s="278"/>
      <x:c r="E61" s="278"/>
      <x:c r="F61" s="278" t="str">
        <x:v>TOTAL 70.3</x:v>
      </x:c>
      <x:c r="G61" s="278"/>
      <x:c r="H61" s="294" t="n">
        <x:f>SUM(H56:H60)</x:f>
        <x:v>0</x:v>
      </x:c>
      <x:c r="I61" s="278" t="str">
        <x:v>szacunek</x:v>
      </x:c>
      <x:c r="J61" s="278"/>
      <x:c r="K61" s="284"/>
    </x:row>
    <x:row r="62">
      <x:c r="A62" s="285"/>
      <x:c r="B62" s="286"/>
      <x:c r="C62" s="286"/>
      <x:c r="D62" s="286"/>
      <x:c r="E62" s="286"/>
      <x:c r="F62" s="286" t="str">
        <x:v>Strategia</x:v>
      </x:c>
      <x:c r="G62" s="286"/>
      <x:c r="H62" s="286" t="str">
        <x:f>IF(H61="","",IF(H61&lt;TIME(5,15,0),"AGRESYWNIE / mocny dzień",IF(H61&lt;TIME(5,45,0),"REALISTYCZNIE", "KONSERWATYWNIE / sprawdź założenia")))</x:f>
      </x:c>
      <x:c r="I62" s="286" t="str">
        <x:v>to predykcja, nie obietnica</x:v>
      </x:c>
      <x:c r="J62" s="286"/>
      <x:c r="K62" s="287"/>
    </x:row>
    <x:row r="63">
      <x:c r="A63" s="226"/>
      <x:c r="B63" s="226"/>
      <x:c r="C63" s="226"/>
      <x:c r="D63" s="226"/>
      <x:c r="E63" s="226"/>
      <x:c r="F63" s="226"/>
      <x:c r="G63" s="226"/>
      <x:c r="H63" s="226"/>
      <x:c r="I63" s="226"/>
      <x:c r="J63" s="226"/>
      <x:c r="K63" s="226"/>
    </x:row>
    <x:row r="64">
      <x:c r="A64" s="226"/>
      <x:c r="B64" s="226"/>
      <x:c r="C64" s="226"/>
      <x:c r="D64" s="226"/>
      <x:c r="E64" s="226"/>
      <x:c r="F64" s="226"/>
      <x:c r="G64" s="226"/>
      <x:c r="H64" s="226"/>
      <x:c r="I64" s="226"/>
      <x:c r="J64" s="226"/>
      <x:c r="K64" s="226"/>
    </x:row>
    <x:row r="65">
      <x:c r="A65" s="226"/>
      <x:c r="B65" s="226"/>
      <x:c r="C65" s="226"/>
      <x:c r="D65" s="226"/>
      <x:c r="E65" s="226"/>
      <x:c r="F65" s="226"/>
      <x:c r="G65" s="226"/>
      <x:c r="H65" s="226"/>
      <x:c r="I65" s="226"/>
      <x:c r="J65" s="226"/>
      <x:c r="K65" s="226"/>
    </x:row>
    <x:row r="66">
      <x:c r="A66" s="226"/>
      <x:c r="B66" s="226"/>
      <x:c r="C66" s="226"/>
      <x:c r="D66" s="226"/>
      <x:c r="E66" s="226"/>
      <x:c r="F66" s="226"/>
      <x:c r="G66" s="226"/>
      <x:c r="H66" s="226"/>
      <x:c r="I66" s="226"/>
      <x:c r="J66" s="226"/>
      <x:c r="K66" s="226"/>
    </x:row>
    <x:row r="67">
      <x:c r="A67" s="226"/>
      <x:c r="B67" s="226"/>
      <x:c r="C67" s="226"/>
      <x:c r="D67" s="226"/>
      <x:c r="E67" s="226"/>
      <x:c r="F67" s="226"/>
      <x:c r="G67" s="226"/>
      <x:c r="H67" s="226"/>
      <x:c r="I67" s="226"/>
      <x:c r="J67" s="226"/>
      <x:c r="K67" s="226"/>
    </x:row>
    <x:row r="68">
      <x:c r="A68" s="226"/>
      <x:c r="B68" s="226"/>
      <x:c r="C68" s="226"/>
      <x:c r="D68" s="226"/>
      <x:c r="E68" s="226"/>
      <x:c r="F68" s="226"/>
      <x:c r="G68" s="226"/>
      <x:c r="H68" s="226"/>
      <x:c r="I68" s="226"/>
      <x:c r="J68" s="226"/>
      <x:c r="K68" s="226"/>
    </x:row>
    <x:row r="69">
      <x:c r="A69" s="226"/>
      <x:c r="B69" s="226"/>
      <x:c r="C69" s="226"/>
      <x:c r="D69" s="226"/>
      <x:c r="E69" s="226"/>
      <x:c r="F69" s="226"/>
      <x:c r="G69" s="226"/>
      <x:c r="H69" s="226"/>
      <x:c r="I69" s="226"/>
      <x:c r="J69" s="226"/>
      <x:c r="K69" s="226"/>
    </x:row>
    <x:row r="70">
      <x:c r="A70" s="226"/>
      <x:c r="B70" s="226"/>
      <x:c r="C70" s="226"/>
      <x:c r="D70" s="226"/>
      <x:c r="E70" s="226"/>
      <x:c r="F70" s="226"/>
      <x:c r="G70" s="226"/>
      <x:c r="H70" s="226"/>
      <x:c r="I70" s="226"/>
      <x:c r="J70" s="226"/>
      <x:c r="K70" s="226"/>
    </x:row>
    <x:row r="71">
      <x:c r="A71" s="226"/>
      <x:c r="B71" s="226"/>
      <x:c r="C71" s="226"/>
      <x:c r="D71" s="226"/>
      <x:c r="E71" s="226"/>
      <x:c r="F71" s="226"/>
      <x:c r="G71" s="226"/>
      <x:c r="H71" s="226"/>
      <x:c r="I71" s="226"/>
      <x:c r="J71" s="226"/>
      <x:c r="K71" s="226"/>
    </x:row>
    <x:row r="72" ht="22" customHeight="1">
      <x:c r="A72" s="250" t="str">
        <x:v>5) LEGENDA I ZASADY</x:v>
      </x:c>
      <x:c r="B72" s="250"/>
      <x:c r="C72" s="250"/>
      <x:c r="D72" s="250"/>
      <x:c r="E72" s="250"/>
      <x:c r="F72" s="250"/>
      <x:c r="G72" s="250"/>
      <x:c r="H72" s="250"/>
      <x:c r="I72" s="250"/>
      <x:c r="J72" s="250"/>
      <x:c r="K72" s="250"/>
    </x:row>
    <x:row r="73">
      <x:c r="A73" s="273" t="str">
        <x:v>Readiness 85-100</x:v>
      </x:c>
      <x:c r="B73" s="274" t="str">
        <x:v>zielony</x:v>
      </x:c>
      <x:c r="C73" s="275" t="str">
        <x:v>realizuj plan normalnie</x:v>
      </x:c>
      <x:c r="D73" s="226"/>
      <x:c r="E73" s="226"/>
      <x:c r="F73" s="226"/>
      <x:c r="G73" s="226"/>
      <x:c r="H73" s="226"/>
      <x:c r="I73" s="226"/>
      <x:c r="J73" s="226"/>
      <x:c r="K73" s="226"/>
    </x:row>
    <x:row r="74">
      <x:c r="A74" s="276" t="str">
        <x:v>Readiness 70-84</x:v>
      </x:c>
      <x:c r="B74" s="278" t="str">
        <x:v>OK</x:v>
      </x:c>
      <x:c r="C74" s="284" t="str">
        <x:v>realizuj plan, bez dokładania ekstra</x:v>
      </x:c>
      <x:c r="D74" s="226"/>
      <x:c r="E74" s="226"/>
      <x:c r="F74" s="226"/>
      <x:c r="G74" s="226"/>
      <x:c r="H74" s="226"/>
      <x:c r="I74" s="226"/>
      <x:c r="J74" s="226"/>
      <x:c r="K74" s="226"/>
    </x:row>
    <x:row r="75">
      <x:c r="A75" s="276" t="str">
        <x:v>Readiness 55-69</x:v>
      </x:c>
      <x:c r="B75" s="278" t="str">
        <x:v>żółty</x:v>
      </x:c>
      <x:c r="C75" s="284" t="str">
        <x:v>skróć 10-20% lub zmniejsz intensywność</x:v>
      </x:c>
      <x:c r="D75" s="226"/>
      <x:c r="E75" s="226"/>
      <x:c r="F75" s="226"/>
      <x:c r="G75" s="226"/>
      <x:c r="H75" s="226"/>
      <x:c r="I75" s="226"/>
      <x:c r="J75" s="226"/>
      <x:c r="K75" s="226"/>
    </x:row>
    <x:row r="76">
      <x:c r="A76" s="276" t="str">
        <x:v>Readiness 40-54</x:v>
      </x:c>
      <x:c r="B76" s="278" t="str">
        <x:v>pomarańczowy</x:v>
      </x:c>
      <x:c r="C76" s="284" t="str">
        <x:v>zamień mocny bodziec na easy / basen / Tacx Z1</x:v>
      </x:c>
      <x:c r="D76" s="226"/>
      <x:c r="E76" s="226"/>
      <x:c r="F76" s="226"/>
      <x:c r="G76" s="226"/>
      <x:c r="H76" s="226"/>
      <x:c r="I76" s="226"/>
      <x:c r="J76" s="226"/>
      <x:c r="K76" s="226"/>
    </x:row>
    <x:row r="77">
      <x:c r="A77" s="276" t="str">
        <x:v>Readiness &lt;40</x:v>
      </x:c>
      <x:c r="B77" s="278" t="str">
        <x:v>czerwony</x:v>
      </x:c>
      <x:c r="C77" s="284" t="str">
        <x:v>wolne albo bardzo lekko</x:v>
      </x:c>
      <x:c r="D77" s="226"/>
      <x:c r="E77" s="226"/>
      <x:c r="F77" s="226"/>
      <x:c r="G77" s="226"/>
      <x:c r="H77" s="226"/>
      <x:c r="I77" s="226"/>
      <x:c r="J77" s="226"/>
      <x:c r="K77" s="226"/>
    </x:row>
    <x:row r="78">
      <x:c r="A78" s="276" t="str">
        <x:v>Ból ≥5</x:v>
      </x:c>
      <x:c r="B78" s="278" t="str">
        <x:v>stop</x:v>
      </x:c>
      <x:c r="C78" s="284" t="str">
        <x:v>nie negocjuj: zero interwałów i zakładek</x:v>
      </x:c>
      <x:c r="D78" s="226"/>
      <x:c r="E78" s="226"/>
      <x:c r="F78" s="226"/>
      <x:c r="G78" s="226"/>
      <x:c r="H78" s="226"/>
      <x:c r="I78" s="226"/>
      <x:c r="J78" s="226"/>
      <x:c r="K78" s="226"/>
    </x:row>
    <x:row r="79">
      <x:c r="A79" s="285" t="str">
        <x:v>Easy = RPE 6-7</x:v>
      </x:c>
      <x:c r="B79" s="286" t="str">
        <x:v>alarm</x:v>
      </x:c>
      <x:c r="C79" s="287" t="str">
        <x:v>to nie jest easy; zmniejsz obciążenie</x:v>
      </x:c>
      <x:c r="D79" s="226"/>
      <x:c r="E79" s="226"/>
      <x:c r="F79" s="226"/>
      <x:c r="G79" s="226"/>
      <x:c r="H79" s="226"/>
      <x:c r="I79" s="226"/>
      <x:c r="J79" s="226"/>
      <x:c r="K79" s="226"/>
    </x:row>
    <x:row r="80">
      <x:c r="A80" s="226"/>
      <x:c r="B80" s="226"/>
      <x:c r="C80" s="226"/>
      <x:c r="D80" s="226"/>
      <x:c r="E80" s="226"/>
      <x:c r="F80" s="226"/>
      <x:c r="G80" s="226"/>
      <x:c r="H80" s="226"/>
      <x:c r="I80" s="226"/>
      <x:c r="J80" s="226"/>
      <x:c r="K80" s="226"/>
    </x:row>
    <x:row r="81">
      <x:c r="A81" s="226"/>
      <x:c r="B81" s="226"/>
      <x:c r="C81" s="226"/>
      <x:c r="D81" s="226"/>
      <x:c r="E81" s="226"/>
      <x:c r="F81" s="226"/>
      <x:c r="G81" s="226"/>
      <x:c r="H81" s="226"/>
      <x:c r="I81" s="226"/>
      <x:c r="J81" s="226"/>
      <x:c r="K81" s="226"/>
    </x:row>
    <x:row r="82">
      <x:c r="A82" s="226"/>
      <x:c r="B82" s="226"/>
      <x:c r="C82" s="226"/>
      <x:c r="D82" s="226"/>
      <x:c r="E82" s="226"/>
      <x:c r="F82" s="226"/>
      <x:c r="G82" s="226"/>
      <x:c r="H82" s="226"/>
      <x:c r="I82" s="226"/>
      <x:c r="J82" s="226"/>
      <x:c r="K82" s="226"/>
    </x:row>
    <x:row r="83">
      <x:c r="A83" s="226"/>
      <x:c r="B83" s="226"/>
      <x:c r="C83" s="226"/>
      <x:c r="D83" s="226"/>
      <x:c r="E83" s="226"/>
      <x:c r="F83" s="226"/>
      <x:c r="G83" s="226"/>
      <x:c r="H83" s="226"/>
      <x:c r="I83" s="226"/>
      <x:c r="J83" s="226"/>
      <x:c r="K83" s="226"/>
    </x:row>
    <x:row r="84">
      <x:c r="A84" s="226"/>
      <x:c r="B84" s="226"/>
      <x:c r="C84" s="226"/>
      <x:c r="D84" s="226"/>
      <x:c r="E84" s="226"/>
      <x:c r="F84" s="226"/>
      <x:c r="G84" s="226"/>
      <x:c r="H84" s="226"/>
      <x:c r="I84" s="226"/>
      <x:c r="J84" s="226"/>
      <x:c r="K84" s="226"/>
    </x:row>
    <x:row r="85">
      <x:c r="A85" s="226"/>
      <x:c r="B85" s="226"/>
      <x:c r="C85" s="226"/>
      <x:c r="D85" s="226"/>
      <x:c r="E85" s="226"/>
      <x:c r="F85" s="226"/>
      <x:c r="G85" s="226"/>
      <x:c r="H85" s="226"/>
      <x:c r="I85" s="226"/>
      <x:c r="J85" s="226"/>
      <x:c r="K85" s="226"/>
    </x:row>
    <x:row r="86">
      <x:c r="A86" s="226"/>
      <x:c r="B86" s="226"/>
      <x:c r="C86" s="226"/>
      <x:c r="D86" s="226"/>
      <x:c r="E86" s="226"/>
      <x:c r="F86" s="226"/>
      <x:c r="G86" s="226"/>
      <x:c r="H86" s="226"/>
      <x:c r="I86" s="226"/>
      <x:c r="J86" s="226"/>
      <x:c r="K86" s="226"/>
    </x:row>
    <x:row r="87">
      <x:c r="A87" s="226"/>
      <x:c r="B87" s="226"/>
      <x:c r="C87" s="226"/>
      <x:c r="D87" s="226"/>
      <x:c r="E87" s="226"/>
      <x:c r="F87" s="226"/>
      <x:c r="G87" s="226"/>
      <x:c r="H87" s="226"/>
      <x:c r="I87" s="226"/>
      <x:c r="J87" s="226"/>
      <x:c r="K87" s="226"/>
    </x:row>
    <x:row r="88">
      <x:c r="A88" s="226"/>
      <x:c r="B88" s="226"/>
      <x:c r="C88" s="226"/>
      <x:c r="D88" s="226"/>
      <x:c r="E88" s="226"/>
      <x:c r="F88" s="226"/>
      <x:c r="G88" s="226"/>
      <x:c r="H88" s="226"/>
      <x:c r="I88" s="226"/>
      <x:c r="J88" s="226"/>
      <x:c r="K88" s="226"/>
    </x:row>
    <x:row r="89">
      <x:c r="A89" s="226"/>
      <x:c r="B89" s="226"/>
      <x:c r="C89" s="226"/>
      <x:c r="D89" s="226"/>
      <x:c r="E89" s="226"/>
      <x:c r="F89" s="226"/>
      <x:c r="G89" s="226"/>
      <x:c r="H89" s="226"/>
      <x:c r="I89" s="226"/>
      <x:c r="J89" s="226"/>
      <x:c r="K89" s="226"/>
    </x:row>
    <x:row r="90">
      <x:c r="A90" s="226"/>
      <x:c r="B90" s="226"/>
      <x:c r="C90" s="226"/>
      <x:c r="D90" s="226"/>
      <x:c r="E90" s="226"/>
      <x:c r="F90" s="226"/>
      <x:c r="G90" s="226"/>
      <x:c r="H90" s="226"/>
      <x:c r="I90" s="226"/>
      <x:c r="J90" s="226"/>
      <x:c r="K90" s="226"/>
    </x:row>
  </x:sheetData>
  <x:mergeCells>
    <x:mergeCell ref="A1:K1"/>
    <x:mergeCell ref="A2:K2"/>
    <x:mergeCell ref="A4:K4"/>
    <x:mergeCell ref="A20:K20"/>
    <x:mergeCell ref="A39:K39"/>
    <x:mergeCell ref="A54:K54"/>
    <x:mergeCell ref="A72:K72"/>
    <x:mergeCell ref="I6:K13"/>
  </x:mergeCells>
  <x:conditionalFormatting sqref="B7:B7">
    <x:cfRule type="cellIs" dxfId="45" priority="1" operator="greaterThanOrEqual">
      <x:formula>85</x:formula>
    </x:cfRule>
    <x:cfRule type="cellIs" dxfId="46" priority="2" operator="between">
      <x:formula>70</x:formula>
    </x:cfRule>
    <x:cfRule type="cellIs" dxfId="47" priority="3" operator="between">
      <x:formula>55</x:formula>
    </x:cfRule>
    <x:cfRule type="cellIs" dxfId="48" priority="4" operator="between">
      <x:formula>40</x:formula>
    </x:cfRule>
    <x:cfRule type="cellIs" dxfId="49" priority="5" operator="lessThan">
      <x:formula>40</x:formula>
    </x:cfRule>
  </x:conditionalFormatting>
  <x:conditionalFormatting sqref="G41:G46">
    <x:cfRule type="expression" dxfId="50" priority="6">
      <x:formula>G41="OK"</x:formula>
    </x:cfRule>
    <x:cfRule type="expression" dxfId="51" priority="7">
      <x:formula>G41="OBSERWUJ"</x:formula>
    </x:cfRule>
    <x:cfRule type="expression" dxfId="52" priority="8">
      <x:formula>G41="WYMIANA"</x:formula>
    </x:cfRule>
  </x:conditionalFormatting>
  <x:dataValidations count="2">
    <x:dataValidation operator="greaterThanOrEqual" sqref="B22:B28">
      <x:formula1>0</x:formula1>
    </x:dataValidation>
    <x:dataValidation operator="greaterThanOrEqual" sqref="B41:C46">
      <x:formula1>0</x:formula1>
    </x:dataValidation>
  </x:dataValidations>
  <x:pageMargins left="0.7" right="0.7" top="0.75" bottom="0.75" header="0.3" footer="0.3"/>
</x:worksheet>
</file>